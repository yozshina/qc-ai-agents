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A86F22FA-57E6-4640-96FC-5887E952B2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ổng hợp" sheetId="1" r:id="rId1"/>
    <sheet name="UPDATE_DB_11G_TO_19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6" i="2"/>
  <c r="D5" i="2"/>
  <c r="D4" i="2"/>
  <c r="B4" i="1" l="1"/>
  <c r="D7" i="2" l="1"/>
  <c r="G4" i="1" l="1"/>
  <c r="G5" i="1" s="1"/>
  <c r="E4" i="1"/>
  <c r="E5" i="1" s="1"/>
  <c r="D4" i="1"/>
  <c r="C4" i="1"/>
  <c r="C5" i="1" s="1"/>
  <c r="I4" i="1" l="1"/>
  <c r="D5" i="1"/>
  <c r="J5" i="1" s="1"/>
  <c r="H5" i="1"/>
  <c r="H4" i="1"/>
  <c r="J4" i="1"/>
  <c r="F4" i="1"/>
  <c r="F5" i="1" s="1"/>
  <c r="I5" i="1" l="1"/>
</calcChain>
</file>

<file path=xl/sharedStrings.xml><?xml version="1.0" encoding="utf-8"?>
<sst xmlns="http://schemas.openxmlformats.org/spreadsheetml/2006/main" count="33" uniqueCount="29">
  <si>
    <t>TỔNG HỢP KẾT QUẢ KIỂM THỬ</t>
  </si>
  <si>
    <t>STT</t>
  </si>
  <si>
    <t>Tên màn hình / Chức năng</t>
  </si>
  <si>
    <t>Số trường hợp kiểm thử đạt (P)</t>
  </si>
  <si>
    <t>Số trường hợp kiểm thử không đạt (F)</t>
  </si>
  <si>
    <t>Số trường hợp kiểm thử đang xem xét (PE)</t>
  </si>
  <si>
    <t>Số trường hợp kiểm thử chưa thực hiện</t>
  </si>
  <si>
    <t>Tổng số trường hợp kiểm thử</t>
  </si>
  <si>
    <t>Tỉ lệ trường hợp kiểm thử đạt (%P)</t>
  </si>
  <si>
    <t>Tỉ lệ trường hợp kiểm thử không đạt (%F)</t>
  </si>
  <si>
    <t>Tỉ lệ trường hợp kiểm thử đã thực hiện (%Cover)</t>
  </si>
  <si>
    <t>Total</t>
  </si>
  <si>
    <t>KỊCH BẢN KIỂM THỬ</t>
  </si>
  <si>
    <t>Tên màn hình / Tên chức năng</t>
  </si>
  <si>
    <t>Mã trường hợp kiểm thử</t>
  </si>
  <si>
    <t>Số trường hợp kiểm thử đang xem xet (PE)</t>
  </si>
  <si>
    <t>Số trường hợp kiểm thử chưa được thực hiện</t>
  </si>
  <si>
    <t>Mục đích kiểm thử</t>
  </si>
  <si>
    <t>Các bước thực hiện</t>
  </si>
  <si>
    <t>Kết quả mong muốn</t>
  </si>
  <si>
    <t>Browser Version</t>
  </si>
  <si>
    <t>Kết quả hiện tại</t>
  </si>
  <si>
    <t>Mã lỗi</t>
  </si>
  <si>
    <t>Ghi chú</t>
  </si>
  <si>
    <t>Lần 1</t>
  </si>
  <si>
    <t>Nâng cấp DB HTDS_VAS 11g -&gt; 19c</t>
  </si>
  <si>
    <t>Up_DB</t>
  </si>
  <si>
    <t>Lần 2</t>
  </si>
  <si>
    <t>Lần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</si>
</sst>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9" fontId="9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8" fillId="5" borderId="1" xfId="1" applyFont="1" applyFill="1" applyBorder="1" applyAlignment="1">
      <alignment horizontal="center" vertical="center" wrapText="1"/>
    </xf>
    <xf numFmtId="9" fontId="1" fillId="3" borderId="1" xfId="2" applyFont="1" applyFill="1" applyBorder="1" applyAlignment="1">
      <alignment horizontal="center" vertical="center" wrapText="1"/>
    </xf>
    <xf numFmtId="9" fontId="2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2" fillId="7" borderId="9" xfId="0" applyFont="1" applyFill="1" applyBorder="1" applyAlignment="1">
      <alignment horizontal="left" vertical="center" wrapText="1"/>
    </xf>
    <xf numFmtId="0" fontId="2" fillId="7" borderId="1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10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3">
    <cellStyle name="Normal" xfId="0" builtinId="0"/>
    <cellStyle name="Normal 4 2" xfId="1" xr:uid="{00000000-0005-0000-0000-000001000000}"/>
    <cellStyle name="Percent" xfId="2" builtinId="5"/>
  </cellStyles>
  <dxfs count="12">
    <dxf>
      <font>
        <color auto="1"/>
      </font>
      <fill>
        <patternFill patternType="solid">
          <bgColor rgb="FFCCFFCC"/>
        </patternFill>
      </fill>
    </dxf>
    <dxf>
      <font>
        <color rgb="FFFF0000"/>
      </font>
      <fill>
        <patternFill patternType="solid">
          <fgColor indexed="64"/>
          <bgColor rgb="FFCCFFCC"/>
        </patternFill>
      </fill>
    </dxf>
    <dxf>
      <font>
        <color rgb="FF0070C0"/>
      </font>
      <fill>
        <patternFill patternType="solid">
          <fgColor auto="1"/>
          <bgColor rgb="FFCCFFCC"/>
        </patternFill>
      </fill>
    </dxf>
    <dxf>
      <font>
        <color auto="1"/>
      </font>
      <fill>
        <patternFill patternType="solid">
          <bgColor rgb="FFCCFFCC"/>
        </patternFill>
      </fill>
    </dxf>
    <dxf>
      <font>
        <color rgb="FFFF0000"/>
      </font>
      <fill>
        <patternFill patternType="solid">
          <fgColor indexed="64"/>
          <bgColor rgb="FFCCFFCC"/>
        </patternFill>
      </fill>
    </dxf>
    <dxf>
      <font>
        <color rgb="FF0070C0"/>
      </font>
      <fill>
        <patternFill patternType="solid">
          <fgColor auto="1"/>
          <bgColor rgb="FFCCFFCC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2D050"/>
      <color rgb="FFF4B084"/>
      <color rgb="FFCCFFCC"/>
      <color rgb="FF00FFFF"/>
      <color rgb="FF00CCFF"/>
      <color rgb="FF00FFCC"/>
      <color rgb="FF99FF66"/>
      <color rgb="FF66FF66"/>
      <color rgb="FF99FF99"/>
      <color rgb="FF90A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11" sqref="E11"/>
    </sheetView>
  </sheetViews>
  <sheetFormatPr defaultColWidth="9.109375" defaultRowHeight="14.4" x14ac:dyDescent="0.3"/>
  <cols>
    <col min="1" max="1" width="7.33203125" style="1" customWidth="1"/>
    <col min="2" max="2" width="48.44140625" style="1" customWidth="1"/>
    <col min="3" max="7" width="20.33203125" style="1" customWidth="1"/>
    <col min="8" max="10" width="21.6640625" style="1" customWidth="1"/>
    <col min="11" max="16384" width="9.109375" style="1"/>
  </cols>
  <sheetData>
    <row r="1" spans="1:10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ht="39.6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ht="15.6" x14ac:dyDescent="0.3">
      <c r="A4" s="3">
        <v>1</v>
      </c>
      <c r="B4" s="16" t="str">
        <f>UPDATE_DB_11G_TO_19C!D2</f>
        <v>Nâng cấp DB HTDS_VAS 11g -&gt; 19c</v>
      </c>
      <c r="C4" s="3">
        <f>UPDATE_DB_11G_TO_19C!D4</f>
        <v>0</v>
      </c>
      <c r="D4" s="3">
        <f>UPDATE_DB_11G_TO_19C!D5</f>
        <v>0</v>
      </c>
      <c r="E4" s="3">
        <f>UPDATE_DB_11G_TO_19C!D6</f>
        <v>0</v>
      </c>
      <c r="F4" s="3">
        <f>UPDATE_DB_11G_TO_19C!D7</f>
        <v>0</v>
      </c>
      <c r="G4" s="3">
        <f>UPDATE_DB_11G_TO_19C!D8</f>
        <v>0</v>
      </c>
      <c r="H4" s="11" t="e">
        <f>C4/G4</f>
        <v>#DIV/0!</v>
      </c>
      <c r="I4" s="11" t="e">
        <f>D4/G4</f>
        <v>#DIV/0!</v>
      </c>
      <c r="J4" s="11" t="e">
        <f>(C4+D4)/G4</f>
        <v>#DIV/0!</v>
      </c>
    </row>
    <row r="5" spans="1:10" x14ac:dyDescent="0.3">
      <c r="A5" s="18" t="s">
        <v>11</v>
      </c>
      <c r="B5" s="18"/>
      <c r="C5" s="4">
        <f>SUM(C4:C4)</f>
        <v>0</v>
      </c>
      <c r="D5" s="4">
        <f t="shared" ref="D5:G5" si="0">SUM(D4:D4)</f>
        <v>0</v>
      </c>
      <c r="E5" s="4">
        <f t="shared" si="0"/>
        <v>0</v>
      </c>
      <c r="F5" s="4">
        <f t="shared" si="0"/>
        <v>0</v>
      </c>
      <c r="G5" s="4">
        <f t="shared" si="0"/>
        <v>0</v>
      </c>
      <c r="H5" s="10" t="e">
        <f>C4/C5</f>
        <v>#DIV/0!</v>
      </c>
      <c r="I5" s="10" t="e">
        <f>D5/G5</f>
        <v>#DIV/0!</v>
      </c>
      <c r="J5" s="10" t="e">
        <f>(C5+D5)/G5</f>
        <v>#DIV/0!</v>
      </c>
    </row>
  </sheetData>
  <mergeCells count="2">
    <mergeCell ref="A1:J2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zoomScale="70" zoomScaleNormal="70" workbookViewId="0">
      <selection activeCell="C24" sqref="C23:C24"/>
    </sheetView>
  </sheetViews>
  <sheetFormatPr defaultColWidth="9.109375" defaultRowHeight="15.6" x14ac:dyDescent="0.3"/>
  <cols>
    <col min="1" max="1" width="15.5546875" style="12" customWidth="1"/>
    <col min="2" max="2" width="31.6640625" style="12" customWidth="1"/>
    <col min="3" max="3" width="69.109375" style="12" customWidth="1"/>
    <col min="4" max="4" width="63" style="12" customWidth="1"/>
    <col min="5" max="9" width="10.6640625" style="12" customWidth="1"/>
    <col min="10" max="10" width="27.33203125" style="12" customWidth="1"/>
    <col min="11" max="16384" width="9.109375" style="12"/>
  </cols>
  <sheetData>
    <row r="1" spans="1:10" ht="24.6" x14ac:dyDescent="0.3">
      <c r="A1" s="6"/>
      <c r="B1" s="6"/>
      <c r="C1" s="44" t="s">
        <v>12</v>
      </c>
      <c r="D1" s="44"/>
      <c r="E1" s="6"/>
      <c r="F1" s="6"/>
      <c r="G1" s="6"/>
      <c r="H1" s="6"/>
      <c r="I1" s="6"/>
      <c r="J1" s="6"/>
    </row>
    <row r="2" spans="1:10" x14ac:dyDescent="0.3">
      <c r="A2" s="7"/>
      <c r="B2" s="7"/>
      <c r="C2" s="8" t="s">
        <v>13</v>
      </c>
      <c r="D2" s="8" t="s">
        <v>25</v>
      </c>
      <c r="E2" s="7"/>
      <c r="F2" s="7"/>
      <c r="G2" s="7"/>
      <c r="H2" s="7"/>
      <c r="I2" s="7"/>
      <c r="J2" s="7"/>
    </row>
    <row r="3" spans="1:10" x14ac:dyDescent="0.3">
      <c r="A3" s="7"/>
      <c r="B3" s="7"/>
      <c r="C3" s="8" t="s">
        <v>14</v>
      </c>
      <c r="D3" s="8" t="s">
        <v>26</v>
      </c>
      <c r="E3" s="7"/>
      <c r="F3" s="7"/>
      <c r="G3" s="7"/>
      <c r="H3" s="7"/>
      <c r="I3" s="7"/>
      <c r="J3" s="7"/>
    </row>
    <row r="4" spans="1:10" x14ac:dyDescent="0.3">
      <c r="A4" s="7"/>
      <c r="B4" s="7"/>
      <c r="C4" s="8" t="s">
        <v>3</v>
      </c>
      <c r="D4" s="3">
        <f>COUNTIF($H$14:$H$3218,"P")</f>
        <v>0</v>
      </c>
      <c r="E4" s="7"/>
      <c r="F4" s="7"/>
      <c r="G4" s="7"/>
      <c r="H4" s="7"/>
      <c r="I4" s="7"/>
      <c r="J4" s="7"/>
    </row>
    <row r="5" spans="1:10" x14ac:dyDescent="0.3">
      <c r="A5" s="7"/>
      <c r="B5" s="7"/>
      <c r="C5" s="8" t="s">
        <v>4</v>
      </c>
      <c r="D5" s="3">
        <f>COUNTIF($H$14:$H$3218,"F")</f>
        <v>0</v>
      </c>
      <c r="E5" s="7"/>
      <c r="F5" s="7"/>
      <c r="G5" s="7"/>
      <c r="H5" s="7"/>
      <c r="I5" s="7"/>
      <c r="J5" s="7"/>
    </row>
    <row r="6" spans="1:10" x14ac:dyDescent="0.3">
      <c r="A6" s="7"/>
      <c r="B6" s="7"/>
      <c r="C6" s="8" t="s">
        <v>15</v>
      </c>
      <c r="D6" s="3">
        <f>COUNTIF($H$14:$H$3218,"PE")</f>
        <v>0</v>
      </c>
      <c r="E6" s="7"/>
      <c r="F6" s="7"/>
      <c r="G6" s="7"/>
      <c r="H6" s="7"/>
      <c r="I6" s="7"/>
      <c r="J6" s="7"/>
    </row>
    <row r="7" spans="1:10" x14ac:dyDescent="0.3">
      <c r="A7" s="7"/>
      <c r="B7" s="7"/>
      <c r="C7" s="8" t="s">
        <v>16</v>
      </c>
      <c r="D7" s="3">
        <f>D8-D4-D5-D6</f>
        <v>0</v>
      </c>
      <c r="E7" s="7"/>
      <c r="F7" s="7"/>
      <c r="G7" s="7"/>
      <c r="H7" s="7"/>
      <c r="I7" s="7"/>
      <c r="J7" s="7"/>
    </row>
    <row r="8" spans="1:10" x14ac:dyDescent="0.3">
      <c r="A8" s="7"/>
      <c r="B8" s="7"/>
      <c r="C8" s="8" t="s">
        <v>7</v>
      </c>
      <c r="D8" s="3">
        <f>COUNTA($D$14:$D$3218)</f>
        <v>0</v>
      </c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28" t="s">
        <v>14</v>
      </c>
      <c r="B10" s="28" t="s">
        <v>17</v>
      </c>
      <c r="C10" s="28" t="s">
        <v>18</v>
      </c>
      <c r="D10" s="28" t="s">
        <v>19</v>
      </c>
      <c r="E10" s="33" t="s">
        <v>20</v>
      </c>
      <c r="F10" s="34"/>
      <c r="G10" s="35"/>
      <c r="H10" s="28" t="s">
        <v>21</v>
      </c>
      <c r="I10" s="28" t="s">
        <v>22</v>
      </c>
      <c r="J10" s="28" t="s">
        <v>23</v>
      </c>
    </row>
    <row r="11" spans="1:10" x14ac:dyDescent="0.3">
      <c r="A11" s="29"/>
      <c r="B11" s="29"/>
      <c r="C11" s="29"/>
      <c r="D11" s="29"/>
      <c r="E11" s="2" t="s">
        <v>24</v>
      </c>
      <c r="F11" s="2" t="s">
        <v>27</v>
      </c>
      <c r="G11" s="2" t="s">
        <v>28</v>
      </c>
      <c r="H11" s="29"/>
      <c r="I11" s="29"/>
      <c r="J11" s="29"/>
    </row>
    <row r="12" spans="1:10" ht="9.75" customHeight="1" x14ac:dyDescent="0.3">
      <c r="A12" s="36"/>
      <c r="B12" s="38"/>
      <c r="C12" s="39"/>
      <c r="D12" s="39"/>
      <c r="E12" s="39"/>
      <c r="F12" s="39"/>
      <c r="G12" s="39"/>
      <c r="H12" s="39"/>
      <c r="I12" s="39"/>
      <c r="J12" s="40"/>
    </row>
    <row r="13" spans="1:10" ht="9.75" customHeight="1" x14ac:dyDescent="0.3">
      <c r="A13" s="37"/>
      <c r="B13" s="41"/>
      <c r="C13" s="42"/>
      <c r="D13" s="42"/>
      <c r="E13" s="42"/>
      <c r="F13" s="42"/>
      <c r="G13" s="42"/>
      <c r="H13" s="42"/>
      <c r="I13" s="42"/>
      <c r="J13" s="43"/>
    </row>
    <row r="14" spans="1:10" ht="124.5" customHeight="1" x14ac:dyDescent="0.3">
      <c r="A14" s="9"/>
      <c r="B14" s="13"/>
      <c r="C14" s="13"/>
      <c r="D14" s="13"/>
      <c r="E14" s="14"/>
      <c r="F14" s="14"/>
      <c r="G14" s="14"/>
      <c r="H14" s="3"/>
      <c r="I14" s="14"/>
      <c r="J14" s="14"/>
    </row>
    <row r="15" spans="1:10" x14ac:dyDescent="0.3">
      <c r="A15" s="15"/>
      <c r="B15" s="30"/>
      <c r="C15" s="31"/>
      <c r="D15" s="31"/>
      <c r="E15" s="31"/>
      <c r="F15" s="31"/>
      <c r="G15" s="31"/>
      <c r="H15" s="31"/>
      <c r="I15" s="31"/>
      <c r="J15" s="32"/>
    </row>
    <row r="16" spans="1:10" ht="124.5" customHeight="1" x14ac:dyDescent="0.3">
      <c r="A16" s="9"/>
      <c r="B16" s="13"/>
      <c r="C16" s="13"/>
      <c r="D16" s="13"/>
      <c r="E16" s="14"/>
      <c r="F16" s="14"/>
      <c r="G16" s="14"/>
      <c r="H16" s="3"/>
      <c r="I16" s="14"/>
      <c r="J16" s="14"/>
    </row>
    <row r="17" spans="1:10" x14ac:dyDescent="0.3">
      <c r="A17" s="25"/>
      <c r="B17" s="30"/>
      <c r="C17" s="31"/>
      <c r="D17" s="31"/>
      <c r="E17" s="31"/>
      <c r="F17" s="31"/>
      <c r="G17" s="31"/>
      <c r="H17" s="31"/>
      <c r="I17" s="31"/>
      <c r="J17" s="32"/>
    </row>
    <row r="18" spans="1:10" ht="31.5" customHeight="1" x14ac:dyDescent="0.3">
      <c r="A18" s="27"/>
      <c r="B18" s="19"/>
      <c r="C18" s="20"/>
      <c r="D18" s="20"/>
      <c r="E18" s="20"/>
      <c r="F18" s="20"/>
      <c r="G18" s="20"/>
      <c r="H18" s="20"/>
      <c r="I18" s="20"/>
      <c r="J18" s="21"/>
    </row>
    <row r="19" spans="1:10" x14ac:dyDescent="0.3">
      <c r="A19" s="26"/>
      <c r="B19" s="22"/>
      <c r="C19" s="23"/>
      <c r="D19" s="23"/>
      <c r="E19" s="23"/>
      <c r="F19" s="23"/>
      <c r="G19" s="23"/>
      <c r="H19" s="23"/>
      <c r="I19" s="23"/>
      <c r="J19" s="24"/>
    </row>
    <row r="20" spans="1:10" x14ac:dyDescent="0.3">
      <c r="A20" s="9"/>
      <c r="B20" s="13"/>
      <c r="C20" s="13"/>
      <c r="D20" s="13"/>
      <c r="E20" s="14"/>
      <c r="F20" s="14"/>
      <c r="G20" s="14"/>
      <c r="H20" s="3"/>
      <c r="I20" s="14"/>
      <c r="J20" s="14"/>
    </row>
  </sheetData>
  <dataConsolidate/>
  <mergeCells count="16">
    <mergeCell ref="C1:D1"/>
    <mergeCell ref="A10:A11"/>
    <mergeCell ref="B10:B11"/>
    <mergeCell ref="C10:C11"/>
    <mergeCell ref="D10:D11"/>
    <mergeCell ref="A17:A19"/>
    <mergeCell ref="A12:A13"/>
    <mergeCell ref="B15:J15"/>
    <mergeCell ref="B12:J13"/>
    <mergeCell ref="B19:J19"/>
    <mergeCell ref="H10:H11"/>
    <mergeCell ref="B17:J17"/>
    <mergeCell ref="B18:J18"/>
    <mergeCell ref="E10:G10"/>
    <mergeCell ref="I10:I11"/>
    <mergeCell ref="J10:J11"/>
  </mergeCells>
  <conditionalFormatting sqref="E14:G14 E20:G20">
    <cfRule type="cellIs" dxfId="11" priority="340" operator="equal">
      <formula>"PE"</formula>
    </cfRule>
    <cfRule type="cellIs" dxfId="10" priority="341" operator="equal">
      <formula>"F"</formula>
    </cfRule>
    <cfRule type="cellIs" dxfId="9" priority="342" operator="equal">
      <formula>"P"</formula>
    </cfRule>
  </conditionalFormatting>
  <conditionalFormatting sqref="E16:G16">
    <cfRule type="cellIs" dxfId="8" priority="328" operator="equal">
      <formula>"PE"</formula>
    </cfRule>
    <cfRule type="cellIs" dxfId="7" priority="329" operator="equal">
      <formula>"F"</formula>
    </cfRule>
    <cfRule type="cellIs" dxfId="6" priority="330" operator="equal">
      <formula>"P"</formula>
    </cfRule>
  </conditionalFormatting>
  <conditionalFormatting sqref="H14 H20">
    <cfRule type="cellIs" dxfId="5" priority="337" operator="equal">
      <formula>"PE"</formula>
    </cfRule>
    <cfRule type="cellIs" dxfId="4" priority="338" operator="equal">
      <formula>"F"</formula>
    </cfRule>
    <cfRule type="cellIs" dxfId="3" priority="339" operator="equal">
      <formula>"P"</formula>
    </cfRule>
  </conditionalFormatting>
  <conditionalFormatting sqref="H16">
    <cfRule type="cellIs" dxfId="2" priority="325" operator="equal">
      <formula>"PE"</formula>
    </cfRule>
    <cfRule type="cellIs" dxfId="1" priority="326" operator="equal">
      <formula>"F"</formula>
    </cfRule>
    <cfRule type="cellIs" dxfId="0" priority="327" operator="equal">
      <formula>"P"</formula>
    </cfRule>
  </conditionalFormatting>
  <dataValidations count="1">
    <dataValidation type="list" allowBlank="1" showInputMessage="1" showErrorMessage="1" sqref="E16:H16 E14:H14 E20:H20" xr:uid="{00000000-0002-0000-0100-000000000000}">
      <formula1>"P,F,PE"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UPDATE_DB_11G_TO_19C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2026-06-18T15:56:11Z</dcterms:modified>
</cp:coreProperties>
</file>