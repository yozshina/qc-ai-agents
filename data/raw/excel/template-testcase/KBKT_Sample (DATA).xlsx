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A75D431F-E0D7-43E5-B63D-0120701FAB5B}" xr6:coauthVersionLast="47" xr6:coauthVersionMax="47" xr10:uidLastSave="{00000000-0000-0000-0000-000000000000}"/>
  <bookViews>
    <workbookView xWindow="-120" yWindow="-120" windowWidth="29040" windowHeight="15720" activeTab="1" xr2:uid="{00000000-000D-0000-FFFF-FFFF00000000}"/>
  </bookViews>
  <sheets>
    <sheet name="Tổng hợp" sheetId="1" r:id="rId1"/>
    <sheet name="UPDATE_DB_11G_TO_19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6" i="2"/>
  <c r="D5" i="2"/>
  <c r="D4" i="2"/>
  <c r="A138" i="2"/>
  <c r="A137" i="2"/>
  <c r="A135" i="2" l="1"/>
  <c r="A74" i="2"/>
  <c r="A134" i="2" l="1"/>
  <c r="A131" i="2" l="1"/>
  <c r="A132" i="2"/>
  <c r="A133" i="2"/>
  <c r="A130" i="2"/>
  <c r="A73" i="2" l="1"/>
  <c r="A72" i="2"/>
  <c r="A70" i="2"/>
  <c r="A69" i="2"/>
  <c r="A67" i="2"/>
  <c r="A126" i="2"/>
  <c r="B4" i="1" l="1"/>
  <c r="A128" i="2"/>
  <c r="A127" i="2"/>
  <c r="D7" i="2" l="1"/>
  <c r="A123" i="2" l="1"/>
  <c r="A124" i="2"/>
  <c r="A125" i="2"/>
  <c r="A122" i="2"/>
  <c r="A115" i="2"/>
  <c r="A116" i="2"/>
  <c r="A117" i="2"/>
  <c r="A118" i="2"/>
  <c r="A119" i="2"/>
  <c r="A114" i="2"/>
  <c r="A110" i="2" l="1"/>
  <c r="A111" i="2"/>
  <c r="A109" i="2"/>
  <c r="A107" i="2"/>
  <c r="A106" i="2"/>
  <c r="A79" i="2"/>
  <c r="A78" i="2"/>
  <c r="A77" i="2"/>
  <c r="A103" i="2" l="1"/>
  <c r="A102" i="2"/>
  <c r="A101" i="2" l="1"/>
  <c r="A99" i="2"/>
  <c r="A98" i="2"/>
  <c r="A100" i="2"/>
  <c r="A96" i="2"/>
  <c r="A94" i="2"/>
  <c r="A95" i="2"/>
  <c r="A90" i="2" l="1"/>
  <c r="A91" i="2"/>
  <c r="A92" i="2"/>
  <c r="A93" i="2"/>
  <c r="A82" i="2"/>
  <c r="A83" i="2"/>
  <c r="A84" i="2"/>
  <c r="A85" i="2"/>
  <c r="A86" i="2"/>
  <c r="A87" i="2"/>
  <c r="A88" i="2"/>
  <c r="A89" i="2"/>
  <c r="A16" i="2"/>
  <c r="A81" i="2"/>
  <c r="A63" i="2"/>
  <c r="A62" i="2"/>
  <c r="A59" i="2"/>
  <c r="A60" i="2"/>
  <c r="A58" i="2"/>
  <c r="A54" i="2"/>
  <c r="A55" i="2"/>
  <c r="A56" i="2"/>
  <c r="A53" i="2"/>
  <c r="A50" i="2"/>
  <c r="A51" i="2"/>
  <c r="A49" i="2"/>
  <c r="A47" i="2"/>
  <c r="A46" i="2"/>
  <c r="A44" i="2"/>
  <c r="A43" i="2"/>
  <c r="A40" i="2"/>
  <c r="A39" i="2"/>
  <c r="A36" i="2"/>
  <c r="A37" i="2"/>
  <c r="A35" i="2"/>
  <c r="A31" i="2"/>
  <c r="A32" i="2"/>
  <c r="A33" i="2"/>
  <c r="A30" i="2"/>
  <c r="A27" i="2"/>
  <c r="A28" i="2"/>
  <c r="A26" i="2"/>
  <c r="A24" i="2"/>
  <c r="A23" i="2"/>
  <c r="A21" i="2"/>
  <c r="A20" i="2"/>
  <c r="A14" i="2"/>
  <c r="G4" i="1" l="1"/>
  <c r="G5" i="1" s="1"/>
  <c r="E4" i="1"/>
  <c r="E5" i="1" s="1"/>
  <c r="D4" i="1"/>
  <c r="C4" i="1"/>
  <c r="C5" i="1" s="1"/>
  <c r="I4" i="1" l="1"/>
  <c r="D5" i="1"/>
  <c r="J5" i="1" s="1"/>
  <c r="H5" i="1"/>
  <c r="H4" i="1"/>
  <c r="J4" i="1"/>
  <c r="F4" i="1"/>
  <c r="F5" i="1" s="1"/>
  <c r="I5" i="1" l="1"/>
</calcChain>
</file>

<file path=xl/sharedStrings.xml><?xml version="1.0" encoding="utf-8"?>
<sst xmlns="http://schemas.openxmlformats.org/spreadsheetml/2006/main" count="682" uniqueCount="255">
  <si>
    <t>TỔNG HỢP KẾT QUẢ KIỂM THỬ</t>
  </si>
  <si>
    <t>STT</t>
  </si>
  <si>
    <t>Tên màn hình / Chức năng</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</si>
  <si>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</si>
  <si>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</si>
  <si>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</si>
  <si>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</si>
  <si>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</si>
  <si>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</si>
  <si>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</si>
  <si>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Tỉ lệ trường hợp kiểm thử đã thực hiện (%Cover)</t>
  </si>
  <si>
    <t>Total</t>
  </si>
  <si>
    <t>KỊCH BẢN KIỂM THỬ</t>
  </si>
  <si>
    <t>Tên màn hình / Tên chức năng</t>
  </si>
  <si>
    <t>Mã trường hợp kiểm thử</t>
  </si>
  <si>
    <t>Số trường hợp kiểm thử đang xem xet (PE)</t>
  </si>
  <si>
    <t>Số trường hợp kiểm thử chưa được thực hiện</t>
  </si>
  <si>
    <t>Mục đích kiểm thử</t>
  </si>
  <si>
    <t>Các bước thực hiện</t>
  </si>
  <si>
    <t>Kết quả mong muốn</t>
  </si>
  <si>
    <t>Browser Version</t>
  </si>
  <si>
    <t>Kết quả hiện tại</t>
  </si>
  <si>
    <t>Mã lỗi</t>
  </si>
  <si>
    <t>Ghi chú</t>
  </si>
  <si>
    <t>Lần 1</t>
  </si>
  <si>
    <t>P</t>
  </si>
  <si>
    <t>Nâng cấp DB HTDS_VAS 11g -&gt; 19c</t>
  </si>
  <si>
    <t>Up_DB</t>
  </si>
  <si>
    <t>Kiểm tra kết nối cơ bản</t>
  </si>
  <si>
    <t>Kiểm tra kết nối đơn giản</t>
  </si>
  <si>
    <t>Kiểm tra DB Link từ 19c -&gt; 11g
- Precondition: đã config DB Link 11g trên DB 19c (HOST = 10.207.222.182 - PORT = 1521 - SERVICE_NAME = DSVAS1)</t>
  </si>
  <si>
    <t>Kiểm tra thông tin DB Link</t>
  </si>
  <si>
    <t>1. Mở script tại DB HTDS_VAS 19c
2. Nhập câu lệnh query:
-- Liệt kê tất cả DB Link
SELECT db_link, username, host, created 
FROM all_db_links;
-- Kiểm tra DB Link cho user hiện tại
SELECT db_link, username, host 
FROM user_db_links;</t>
  </si>
  <si>
    <t>Hệ thống trả về kết quả sau query:
-- Test kết nối cơ bản = X
-- Test với user cụ thể = DSVAS</t>
  </si>
  <si>
    <t>Hệ thống trả về kết quả sau query:
-- Liệt kê tất cả DB Link = Toàn bộ thông DB link trên DB HTDS_VAS 19c đã đc tạo
-- Kiểm tra DB Link cho user hiện tại = Toàn bộ thông DB link trên DB HTDS_VAS 19c đã đc tạo tương ứng với user</t>
  </si>
  <si>
    <t>Kiểm tra truy vấn dữ liệu</t>
  </si>
  <si>
    <t>Hệ thống trả về kết quả sau query:
-- Test truy vấn đơn giản = số lượng dữ liệu có trong bảng CONTRACT ở DB HTDS_VAS 11g
-- Test với điều kiện WHERE = hiển thị dữ liệu tương ứng với CONTRACT_ID = 123456 ở DB HTDS_VAS 11g</t>
  </si>
  <si>
    <t>Kiểm tra truy vấn dữ liệu từ bảng remote</t>
  </si>
  <si>
    <t>Kiểm tra hiệu suất truy vấn từ bảng remote</t>
  </si>
  <si>
    <t>1. Mở script tại DB HTDS_VAS 19c
2. Nhập câu lệnh query:
-- Đo thời gian truy vấn
SELECT COUNT(*) FROM IC_REPORT_DETAIL@link_to_11g</t>
  </si>
  <si>
    <t>Hệ thống trả về kết quả sau query:
-- Đo thời gian truy vấn: Với dữ liệu khoảng 10k mất ~ 100ms (tức khá nhanh)</t>
  </si>
  <si>
    <t>Kiểm tra INSERT qua DB Link</t>
  </si>
  <si>
    <t>Kiểm tra UPDATE qua DB Link</t>
  </si>
  <si>
    <t>Kiểm tra DELETE qua DB Link</t>
  </si>
  <si>
    <t>Kiểm tra thay đổi dữ liệu trong bảng</t>
  </si>
  <si>
    <t>Kiểm tra thay đổi dữ liệu bảng</t>
  </si>
  <si>
    <t>Kiểm tra CREATE TABLE qua DB link</t>
  </si>
  <si>
    <t>Kiểm tra ALERT TABLE qua DB link</t>
  </si>
  <si>
    <t>Kiểm tra TRUNCATE TABLE qua DB link</t>
  </si>
  <si>
    <t>Kiểm tra DROP TABLE qua DB link</t>
  </si>
  <si>
    <t>1. Mở script tại DB HTDS_VAS 19c
2. Nhập câu lệnh query:
-- Test kết nối cơ bản
SELECT * FROM dual@link_to_11g;
-- Test với user cụ thể
SELECT USER FROM dual@link_to_11g;</t>
  </si>
  <si>
    <t>1. Mở script tại DB HTDS_VAS 19c
2. Nhập câu lệnh query:
-- Test truy vấn đơn giản
SELECT COUNT(*) FROM CONTRACT@link_to_11g;
-- Test với điều kiện WHERE
SELECT * FROM CONTRACT@link_to_11g 
WHERE CONTRACT_ID = 123456;</t>
  </si>
  <si>
    <t>1. Mở script tại DB HTDS_VAS 19c
2. Nhập câu lệnh query:
-- Test CREATE bảng
CREATE TABLE DB19cTEST@link_to_11g (
    test_id NUMBER PRIMARY KEY,
    test_name VARCHAR2(100) NOT NULL,
    test_no NUMBER(10,2) NOT NULL,
    test_category VARCHAR2(50)
);
-- Kiểm tra kết quả
SELECT * FROM rDB19cTEST@link_to_11g;</t>
  </si>
  <si>
    <t>1. Mở script tại DB HTDS_VAS 19c
2. Nhập câu lệnh query:
-- Test ALERT bảng
ALTER TABLE DB19cTEST@link_to_11g ADD (description VARCHAR2(500));
-- Kiểm tra kết quả
SELECT * FROM rDB19cTEST@link_to_11g;</t>
  </si>
  <si>
    <t>1. Mở script tại DB HTDS_VAS 19c
2. Nhập câu lệnh query:
-- Test DROP
DROP TABLE DB19cTEST@link_to_11g;
-- Kiểm tra kết quả
SELECT * FROM rDB19cTEST@link_to_11g;</t>
  </si>
  <si>
    <t>Hệ thống trả về kết quả sau query:
Bảng DB19CTEST vơi các cột dữ liệu như đã khai báo
Kiểm tra chi tiết về kiểu dữ liệu: Dbeaver hiển thị kiểu dữ liệu của từng cột trong bảng đúng như đã khai báo</t>
  </si>
  <si>
    <t>Hệ thống trả về kết quả sau query:
Bảng DB19CTEST có thêm cột DESCRIPTION, các cột khác được giữ nguyên
Kiểm tra chi tiết về kiểu dữ liệu: Dbeaver hiển thị kiểu dữ liệu cột DESCRIPTION đúng như đã khai báo, các cột khác ko có gì thay đổi</t>
  </si>
  <si>
    <t>1. Mở script tại DB HTDS_VAS 19c
- Pre: Bảng DB19cTEST đã có dữ liệu
2. Nhập câu lệnh query:
-- Test TRUNCATE
TRUNCATE TABLE  DB19cTEST@link_to_11g;
-- Kiểm tra kết quả
SELECT * FROM rDB19cTEST@link_to_11g;</t>
  </si>
  <si>
    <t>Hệ thống trả về kết quả sau query:
Bảng DB19CTEST không có dòng dữ liệu nào, cấu trúc bảng được giữ nguyên</t>
  </si>
  <si>
    <t>Hệ thống trả về kết quả sau query:
Báo lỗi không có bảng DB19CTEST không tồn tại ~ xóa hoàn toàn bảng khỏi DB</t>
  </si>
  <si>
    <t>Kiểm tra các kịch bản sẽ báo lỗi</t>
  </si>
  <si>
    <t>Kiểm tra DB Link không tồn tại</t>
  </si>
  <si>
    <t>1. Mở script tại DB HTDS_VAS 19c
2. Nhập câu lệnh query:
-- Test với DB Link không tồn tại
SELECT * FROM dual@abc_123_abc_456;</t>
  </si>
  <si>
    <t xml:space="preserve">Hệ thống trả về kết quả sau query:
Báo lỗi không tồn tại DB link abc_123_abc_456 </t>
  </si>
  <si>
    <t>Kiểm tra table trong DB Link không tồn tại</t>
  </si>
  <si>
    <t>1. Mở script tại DB HTDS_VAS 19c
2. Nhập câu lệnh query:
-- Test với table không tồn tại
SELECT * FROM 112233abcdef@link_to_11g;</t>
  </si>
  <si>
    <t>Hệ thống trả về kết quả sau query:
Báo lỗi không tồn tại bảng 112233abcdef</t>
  </si>
  <si>
    <t>Kiểm tra table trong DB Link không được cấp quyền truy cập</t>
  </si>
  <si>
    <t>1. Mở script tại DB HTDS_VAS 19c
2. Nhập câu lệnh query:
-- Test với table không tồn tại
SELECT * FROM …...@link_to_11g;</t>
  </si>
  <si>
    <t>Hệ thống trả về kết quả sau query:
Báo lỗi không có quyền truy cập bảng…..</t>
  </si>
  <si>
    <t>Kiểm tra đồng bộ dữ liệu</t>
  </si>
  <si>
    <t>Kiểm tra số lượng bản ghi đang tồn tại</t>
  </si>
  <si>
    <t>1. Mở script tại DB HTDS_VAS 19c
2. Nhập câu lệnh query:
SELECT COUNT(*) as count FROM CONTRACT
UNION ALL
SELECT COUNT(*) as count FROM CONTRACT@link_to_11g;</t>
  </si>
  <si>
    <t>Hệ thống trả về 2 kết quả và so sánh
- Nếu DB mới build và mới đồng bộ mà:
  + DB gốc &gt; DB link -&gt; mất dự liệu khi đồng bộ
  + DB gốc = DB link: Dữ liệu đc đồng bộ hoàn toàn
  + DB gốc &lt; DB link -&gt; dự liệu bị xử lý sai lệch/thừa khi đồng bộ
- Nếu DB đã build lâu và đã thao tác tác động tới DB: 2 kết quả bình thường, không phản ánh được đúng sai của tiến trình đồng bộ</t>
  </si>
  <si>
    <t>Kiểm tra và so sánh dữ liệu cụ thể</t>
  </si>
  <si>
    <t>1. Mở script tại DB HTDS_VAS 19c
2. Nhập câu lệnh query:
SELECT c.*, r.*
FROM CONTRACT c
FULL OUTER JOIN CONTRACT@link_to_11g r ON c.CONTRACT_ID = r.CONTRACT_ID;</t>
  </si>
  <si>
    <t>Hệ thống trả về kết quả sau khi query:
Trả về toàn bộ dữ liệu phù hợp với điều kiện join, chọn bất 1 dòng dữ liệu ko bị sửa rồi (hoặc ngay sau khi đồng bộ) thì data trả về từ bảng gốc và bảng remote giống nhau hoàn toàn</t>
  </si>
  <si>
    <t>1. Mở script tại DB HTDS_VAS 19c
2. Nhập câu lệnh query:
-- Test INSERT
INSERT INTO DB19CTEST@link_to_11g (test_id, test_name, test_no, test_category)
VALUES ('79', 'LUCKY_NUMBER', '79.79', 'Số thần tài lớn');
-- Kiểm tra dữ liệu sau khi đã insert
SELECT * FROM DB19CTEST@link_to_11g 
WHERE TEST_ID = '79';
-- Rollback để không ảnh hưởng dữ liệu cũ
ROLLBACK;</t>
  </si>
  <si>
    <t>1. Mở script tại DB HTDS_VAS 19c
2. Nhập câu lệnh query:
-- Test UPDATE
UPDATE DB19CTEST@link_to_11g
SET TEST_NO = '79.179' 
WHERE TEST_ID = '79';
-- Kiểm tra kết quả
SELECT * FROM DB19CTEST@link_to_11g 
WHERE TEST_ID = '79';
-- Rollback để không ảnh hưởng dữ liệu cũ
ROLLBACK;</t>
  </si>
  <si>
    <t>1. Mở script tại DB HTDS_VAS 19c
2. Nhập câu lệnh query:
-- Test DETELE
DELETE FROM DB19CTEST@link_to_11g
WHERE TEST_ID = '79';
-- Kiểm tra kết quả
SELECT * FROM DB19CTEST@link_to_11g 
WHERE TEST_ID = '79';
-- Rollback để không ảnh hưởng dữ liệu cũ
ROLLBACK;</t>
  </si>
  <si>
    <t>Hệ thống trả về kết quả sau query:
-- Test INSERT : Thông báo insert thành công 1 bản ghi
-- Kiểm tra dữ liệu sau khi đã insert: Hệ thống hiển thị dữ liệu tương ứng đã insert trong bảng</t>
  </si>
  <si>
    <t>Hệ thống trả về kết quả sau query:
-- Test UPDATE : Thông báo update thành công 1 bản ghi
-- Kiểm tra dữ liệu sau khi đã update: Hệ thống hiển thị dữ liệu tương ứng đã và dữ liệu update đúng trong bảng</t>
  </si>
  <si>
    <t>Hệ thống trả về kết quả sau query:
-- Test DELETE : Thông báo delete thành công 1 bản ghi
-- Kiểm tra dữ liệu sau khi đã delete: Hệ thống ko hiển thị dữ liệu vì đã bị xóa trong bảng</t>
  </si>
  <si>
    <t>Kiểm tra DB Link từ 11g -&gt; 19c
- Precondition: đã config DB Link 19c trên DB 11g (HOST = 10.207.222.143 - PORT = 9000 - SERVICE_NAME = DSVAS1)</t>
  </si>
  <si>
    <t>1. Mở script tại DB HTDS_VAS 11g
2. Nhập câu lệnh query:
-- Test kết nối cơ bản
SELECT * FROM dual@link_to_19c;
-- Test với user cụ thể
SELECT USER FROM dual@link_to_19c;</t>
  </si>
  <si>
    <t>1. Mở script tại DB HTDS_VAS 11g
2. Nhập câu lệnh query:
-- Liệt kê tất cả DB Link
SELECT db_link, username, host, created 
FROM all_db_links;
-- Kiểm tra DB Link cho user hiện tại
SELECT db_link, username, host 
FROM user_db_links;</t>
  </si>
  <si>
    <t>Hệ thống trả về kết quả sau query:
-- Liệt kê tất cả DB Link = Toàn bộ thông DB link trên DB HTDS_VAS 11g đã đc tạo
-- Kiểm tra DB Link cho user hiện tại = Toàn bộ thông DB link trên DB HTDS_VAS 11g đã đc tạo tương ứng với user</t>
  </si>
  <si>
    <t>1. Mở script tại DB HTDS_VAS 11g
2. Nhập câu lệnh query:
-- Test với DB Link không tồn tại
SELECT * FROM dual@abc_123_abc_456;</t>
  </si>
  <si>
    <t>1. Mở script tại DB HTDS_VAS 11g
2. Nhập câu lệnh query:
-- Test truy vấn đơn giản
SELECT COUNT(*) FROM CONTRACT@link_to_19c;
-- Test với điều kiện WHERE
SELECT * FROM CONTRACT@link_to_19c 
WHERE CONTRACT_ID = 123456;</t>
  </si>
  <si>
    <t>Hệ thống trả về kết quả sau query:
-- Test truy vấn đơn giản = số lượng dữ liệu có trong bảng CONTRACT ở DB HTDS_VAS 19c
-- Test với điều kiện WHERE = hiển thị dữ liệu tương ứng với CONTRACT_ID = 123456 ở DB HTDS_VAS 19c</t>
  </si>
  <si>
    <t>1. Mở script tại DB HTDS_VAS 11g
2. Nhập câu lệnh query:
-- Đo thời gian truy vấn
SELECT COUNT(*) FROM IC_REPORT_DETAIL@link_to_19c</t>
  </si>
  <si>
    <t>1. Mở script tại DB HTDS_VAS 11g
2. Nhập câu lệnh query:
-- Test INSERT
INSERT INTO DB19CTEST@link_to_19c (test_id, test_name, test_no, test_category)
VALUES ('79', 'LUCKY_NUMBER', '79.79', 'Số thần tài lớn');
-- Kiểm tra dữ liệu sau khi đã insert
SELECT * FROM DB11GTEST@link_to_19c
WHERE TEST_ID = '79';
-- Rollback để không ảnh hưởng dữ liệu cũ
ROLLBACK;</t>
  </si>
  <si>
    <t>1. Mở script tại DB HTDS_VAS 11g
2. Nhập câu lệnh query:
-- Test DETELE
DELETE FROM DB19CTEST@link_to_19c
WHERE TEST_ID = '79';
-- Kiểm tra dữ liệu sau khi đã delete
SELECT * FROM DB11GTEST@link_to_19c
WHERE TEST_ID = '79';
-- Rollback để không ảnh hưởng dữ liệu cũ
ROLLBACK;</t>
  </si>
  <si>
    <t>1. Mở script tại DB HTDS_VAS 11g
2. Nhập câu lệnh query:
-- Test UPDATE
UPDATE DB19CTEST@link_to_19c
SET TEST_NO = '79.179' 
WHERE TEST_ID = '79';
-- Kiểm tra dữ liệu sau khi đã update
SELECT * FROM DB11GTEST@link_to_19c
WHERE TEST_ID = '79';
-- Rollback để không ảnh hưởng dữ liệu cũ
ROLLBACK;</t>
  </si>
  <si>
    <t>Hệ thống trả về kết quả sau query:
Bảng DB11GTEST vơi các cột dữ liệu như đã khai báo
Kiểm tra chi tiết về kiểu dữ liệu: Dbeaver hiển thị kiểu dữ liệu của từng cột trong bảng đúng như đã khai báo</t>
  </si>
  <si>
    <t>1. Mở script tại DB HTDS_VAS 11g
2. Nhập câu lệnh query:
-- Test CREATE bảng
CREATE TABLE DB11GTEST@link_to_19c (
    test_id NUMBER PRIMARY KEY,
    test_name VARCHAR2(100) NOT NULL,
    test_no NUMBER(10,2) NOT NULL,
    test_category VARCHAR2(50)
);
-- Kiểm tra kết quả
SELECT * FROM rDB11GTEST@link_to_19c;</t>
  </si>
  <si>
    <t>1. Mở script tại DB HTDS_VAS 11g
- Pre: Bảng DB19cTEST đã có dữ liệu
2. Nhập câu lệnh query:
-- Test TRUNCATE
TRUNCATE TABLE  DB19cTEST@link_to_19c;
-- Kiểm tra kết quả
SELECT * FROM rDB11GTEST@link_to_19c;</t>
  </si>
  <si>
    <t>1. Mở script tại DB HTDS_VAS 11g
2. Nhập câu lệnh query:
-- Test ALERT bảng
ALTER TABLE DB19cTEST@link_to_19c ADD (description VARCHAR2(500));
-- Kiểm tra kết quả
SELECT * FROM rDB11GTEST@link_to_19c;</t>
  </si>
  <si>
    <t>1. Mở script tại DB HTDS_VAS 11g
2. Nhập câu lệnh query:
-- Test với table không tồn tại
SELECT * FROM 112233abcdef@link_to_19c;</t>
  </si>
  <si>
    <t>1. Mở script tại DB HTDS_VAS 11g
2. Nhập câu lệnh query:
-- Test với table không tồn tại
SELECT * FROM …...@link_to_19c;</t>
  </si>
  <si>
    <t>1. Mở script tại DB HTDS_VAS 11g
2. Nhập câu lệnh query:
SELECT COUNT(*) as count FROM CONTRACT
UNION ALL
SELECT COUNT(*) as count FROM CONTRACT@link_to_19c;</t>
  </si>
  <si>
    <t>1. Mở script tại DB HTDS_VAS 11g
2. Nhập câu lệnh query:
SELECT c.*, r.*
FROM CONTRACT c
FULL OUTER JOIN CONTRACT@link_to_19c r ON c.CONTRACT_ID = r.CONTRACT_ID;</t>
  </si>
  <si>
    <t>Các sự kiện Thêm mới, Xóa, Sửa dữ liệu tại các màn hình dẫn tới sự kiện thay đổi trên DB bảng tương ứng</t>
  </si>
  <si>
    <t>Kiểm tra màn hình Danh mục Dịch vụ/Biểu mẫu/Mẫu jasper/Mẫu SQL với DB bảng SERVICES / TEMPLATE / TEMPLTAE_JASPER</t>
  </si>
  <si>
    <t>1. Sửa thành công 1 dịch vụ bất kỳ
2. Kiểm tra DB bảng SERVICES
Select * from SERVICES where CODE = '…Mã dịch vụ đã sửa ….'</t>
  </si>
  <si>
    <t>1. Thêm mới thành công 1 dịch vụ mới
2. Kiểm tra DB bảng SERVICES
Select * from SERVICES where CODE = '…Mã dịch vụ thêm mới ….'</t>
  </si>
  <si>
    <t>1. Xóa thành công 1 dịch vụ bất kỳ
2. Kiểm tra DB bảng SERVICES
Select * from SERVICES where CODE = '…Mã dịch vụ đã xóa….'</t>
  </si>
  <si>
    <t>DB trả về dữ liệu đúng như đã thêm mới</t>
  </si>
  <si>
    <t>DB trả về dữ liệu đúng như đã sửa</t>
  </si>
  <si>
    <t>DB trả về rỗng -&gt; dữ liệu đã đc hóa thành công</t>
  </si>
  <si>
    <t>3.5 Cập nhật DB link</t>
  </si>
  <si>
    <t>3.1 Cập nhật file mã hóa tài khoản DB từ Oracle 11g sang Oracle 19c</t>
  </si>
  <si>
    <t>Kiểm tra đường link thư mục chứa file cấu hình</t>
  </si>
  <si>
    <t>1. Mở tomcat server test
2. Mở đường link chứa file cấu hình: /u01/app/fmra/htds_vas/htds_webapp/htds_web_deploy/tomcat_xxxx/webapps/HTDS/WEB-INF/classes/com/viettel/htds/config/datasource/
3. Mở file và decode</t>
  </si>
  <si>
    <t>Hệ thống hiển thị cấu hình DB đúng với TLGP mô tả</t>
  </si>
  <si>
    <t>3.2 Nâng cấp thư viện để giao tiếp với Oracle 19c</t>
  </si>
  <si>
    <t>Kiểm tra đường link thư mục chứa file thư viện ojdbc7</t>
  </si>
  <si>
    <t>3.6 Danh sách hệ thống và tiến trình bị ảnh hưởng</t>
  </si>
  <si>
    <t>3.6.3. /u01/doisoat/htds_web_deploy/tomcat_8756 : webapp (103+104)</t>
  </si>
  <si>
    <t>1. Thêm mới thành công 1 dịch vụ mới
2. Kiểm tra DB bảng TEMPLATE
Select * from TEMPLATE where CODE = '…Mã template thêm mới ….'</t>
  </si>
  <si>
    <t>1. Sửa thành công 1 dịch vụ bất kỳ
2. Kiểm tra DB bảng TEMPLATE
Select * from TEMPLATE where CODE = '…Mã template đã sửa ….'</t>
  </si>
  <si>
    <t>1. Xóa thành công 1 dịch vụ bất kỳ
2. Kiểm tra DB bảng STEMPLATE
Select * from TEMPLATE where CODE = '…Mã template đã xóa….'</t>
  </si>
  <si>
    <t>1. Thêm mới thành công 1 dịch vụ mới
2. Kiểm tra DB bảng TEMPLTAE_JASPER
Select * from TEMPLTAE_JASPER where CODE = '…Mã jasper thêm mới ….'</t>
  </si>
  <si>
    <t>1. Sửa thành công 1 dịch vụ bất kỳ
2. Kiểm tra DB bảng TEMPLTAE_JASPER
Select * from TEMPLTAE_JASPER where CODE = '…Mã jasper đã sửa ….'</t>
  </si>
  <si>
    <t>1. Xóa thành công 1 dịch vụ bất kỳ
2. Kiểm tra DB bảng TEMPLTAE_JASPER
Select * from TEMPLTAE_JASPER where CODE = '…Mã jasper đã xóa….'</t>
  </si>
  <si>
    <t>Kiểm tra màn hình Quản lý Phiếu yêu cầu, thực hiện hoàn chỉnh 1 PYC Demo từ đầu đến cuối</t>
  </si>
  <si>
    <t>DB 2 bảng trả về dữ liệu đúng như đã thêm mới với từng file upload</t>
  </si>
  <si>
    <t>1. Thêm mới thành công 1 bản ghi vào Data grid Danh sách Phiếu yêu cầu ở Tab Thông tin chung
2. Kiểm tra DB bảng REQUIREMENT_FORM
select * from REQUIREMENT_FORM where NAME = '…Tên PYC…'</t>
  </si>
  <si>
    <t>Bảng REQUIREMENT_POLICY cập nhật lại trường SHARE_TYPE đúng với giá trị đã quy định tương ứng với hình thức chia sẻ đã chọn
Bảng REQUIREMENT_POLICY trả về dữ liệu đúng như đã thêm mới</t>
  </si>
  <si>
    <t>1. Thêm mới thành công hình thức chia sẽ vào bản ghi khung chính sách mới đc thêm
2. Kiểm tra DB bảng REQUIREMENT_POLICY
select * from REQUIREMENT_FORM where NAME = '…Tên PYC…' kiểm tra update trường SHARE_TYPE
3. KIỂM TRA DB bảng REQUIREMENT_POLICY_DETAIL
select * from REQUIREMENT_POLICY_DETAIL where REQUIREMENT_POLICY_ID = '…ID của Policy đã thêm mới bên trên…'</t>
  </si>
  <si>
    <t xml:space="preserve">1. Thêm mới thành công 1 bản ghi vào Tab Nguồn dữ liệu
2. Kiểm tra DB bảng REQUIREMENT_DATASOURCE
select * from REQUIREMENT_DATASOURCE where REQUIREMENT_FORM_ID = '…ID của PYC nêu trên...' </t>
  </si>
  <si>
    <t xml:space="preserve">1. Thêm mới file đính kèm vào PYC vừa mới thêm mới thành công
2. Kiểm tra DB bảng REQUIREMENT_FILE_ATTACH
select * from REQUIREMENT_FILE_ATTACH where REQUIREMENT_FORM_ID = '…ID của PYC đã thêm mới...'
3. Kiểm tra DB bảng CONTRACT_REQUIREMENT nếu người dùng upload loại file là Hợp đồng - hình thức Upload
select * from CONTRACT_REQUIREMENT where REQUIREMENT_FORM_ID = '…ID của PYC đã thêm mới...' </t>
  </si>
  <si>
    <t>Các luồng chính của HTĐS_VAS dẫn tới sự kiện thay đổi dữ liệu lớn trong DB tại các bảng liên quan</t>
  </si>
  <si>
    <t>1. Thực hiện ký thành công trên Voffice -&gt; Hệ thống tự động xử lý các thông tin đẩy về HTĐS_VAS
2. Kiểm tra DB bảng REQUIREMENT_FORM
select * from REQUIREMENT_FORM where REQUIREMENT_FORM_ID = '…ID của PYC nêu trên...' 
3. Kiểm tra DB bảng REQUEST_FORM_VOFFICE
select * from REQUEST_FORM_VOFFICE where REQUIREMENT_FORM_ID = '...ID của PYC nêu trên...'
4. Kiểm tra DB bảng CONTRACT_APPENDIX nếu upload loại file là HĐ và HĐ đã có trên hệ thống (thêm phụ lục HĐ)
5. Kiểm tra DB bảng CONTRACT nếu upload loại file là HĐ và HĐ chưa có trên hệ thống (tạo HĐ mới)</t>
  </si>
  <si>
    <t>REQUIREMENT_FORM trả về dữ liệu được  update dữ liệu vào trường VOFFICE_REPORT_ID và status = 1 -&gt; 2 (Đang ký)
REQUEST_FORM_VOFFICE trả về dữ liệu được hệ thống tự động thêm mới mapping VOFFICE_REPORT_ID với bản ghi REQUIREMENT_FORM</t>
  </si>
  <si>
    <t>REQUIREMENT_FORM trả về dữ liệu được update dữ liệu vào trường VOFFICE_REPORT_NO và status = 2 -&gt; 3 (Đã ký)
REQUEST_FORM_VOFFICE trả về dữ liệu được hệ thống tự động thêm mới mapping VOFFICE_REPORT_ID với bản ghi REQUIREMENT_FORM, stauts = 1 -&gt; 2
DB Bảng CONTRACT_APPENDIX hoặc CONTRACT được thêm mới dữ liệu như action cũ gắn với CONTRACT_NO đã thêm đính kèm tại bảng REQUIREMENT_FILE_ATTACH và mapping với DOC_NO tại bảng này</t>
  </si>
  <si>
    <t>Kiểm tra luồng ký duyệt biên bản chính thức</t>
  </si>
  <si>
    <t>Kiểm tra luồng ký duyệt biên bản đơn vị ngoài</t>
  </si>
  <si>
    <t xml:space="preserve">Hệ thống thông báo tổng hợp thành công
Ở data grid cập nhật chu kỳ tiếp theo của HĐ được cập nhật thành chu kỳ tiếp theo gần nhất
DB trả về dữ liệu đúng với biên bản phí đầu số đã đc tổng hợp thành công </t>
  </si>
  <si>
    <t>Hệ thống hiển thị thông tin biên bản tại Data grid Danh sách biên bản phí đầu số
Click [Duyệt] -&gt; hệ thống hiển thị popup Xem biên bản và có button [Ký] để người dùng Ký duyệt biên bản đang xem
Với mỗi role ký DB trả về dữ liệu được update ở trường STATUS tương ứng với trạng thái của biên bản phí đầu số</t>
  </si>
  <si>
    <t>Luồng tổng hợp biên bản phí đầu số
1. Đăng nhập HTDS -&gt; menu -&gt; Quản lý phí đầu số -&gt; Tổng hợp biên bản phí đầu số
2. Tổng hợp 1 biên bản phí đầu số cho 1 HĐ bất kỳ
- Nhập Loại chi phí: IMUZIK_NUMBER_FEE
- Nhập kỳ muốn tổng hợp: 11/2025
3. Kiểm tra DB bảng IC_SC_COST_REPORT
select * from IC_SC_COST_REPORT where TYPE_COST_ID = '...ID của loại chi phí đã nhập...' AND TIME_SUM = '01-nov-2025';</t>
  </si>
  <si>
    <t>Hệ thống hiển thị thông tin biên bản tại Data grid Danh sách biên bản phí đầu số
Click [Duyệt] -&gt; hệ thống hiển thị popup Xem biên bản và có button [Ký] để người dùng Ký duyệt biên bản đang xem
DB trả về dữ liệu tại bảng IC_SC_COST_REPORT được update ở trường STATUS = 5 -&gt; 6 
DB trả về dữ liệu tại bảng IC_SC_COST_INVOICE với dữ liệu đúng với luồng cũ của hệ thống</t>
  </si>
  <si>
    <t xml:space="preserve">Hệ thống thông báo tổng hợp thành công
Các hợp đồng tổng hợp thành công sẽ được update vào bảng IC_DATA và IC_DATA_DETAIL (mapping với IC_DATA qua ID) 
</t>
  </si>
  <si>
    <t>Hệ thống hiển thị thông tin biên bản tại Data grid Danh sách biên bản
Click [Duyệt] -&gt; hệ thống hiển thị popup Xem biên bản và có button [Ký] để người dùng Ký duyệt biên bản đang xem
DB trả về dữ liệu tại bảng IC_REPORT được update ở trường STATUS = 8 -&gt; 9 
DB trả về dữ liệu tại bảng IC_INVOICE và IC_INVOICE_DETAIL với dữ liệu đúng với luồng cũ của hệ thống</t>
  </si>
  <si>
    <t xml:space="preserve">Hệ thống thông báo tổng hợp biên bản thành công
Biên bản tổng hợp thành công sẽ được update dữ liệu vào bảng IC_REPORT và IC_REPORT_DETAIL (mapping với IC_REPORT qua ID) và IC_REPORT_TYPE = 1
</t>
  </si>
  <si>
    <t>Hệ thống hiển thị thông tin biên bản tại Data grid Danh sách biên bản
Click [Duyệt] -&gt; hệ thống hiển thị popup Xem biên bản và có button [Ký] để người dùng Ký duyệt biên bản đang xem
Với mỗi role ký DB trả về dữ liệu tại bảng IC_REPORT được update ở trường STATUS tương ứng với trạng thái của biên bản chính thức. Dữ liệu tại bảng IC_REPORT_DETAIL không bị thay đổi</t>
  </si>
  <si>
    <t xml:space="preserve">Hệ thống thông báo tổng hợp biên bản bàn giao thành công
Biên bản tổng hợp thành công sẽ được update dữ liệu vào bảng IC_REPORT_ASSIGN mapping với IC_REPORT qua [IC.REPORT].ID = [IC_REPORT_ASSIGN].IC_REPORT_ID
</t>
  </si>
  <si>
    <t>Hệ thống hiển thị thông tin biên bản tại Data grid Danh sách biên bản
Click [Duyệt] -&gt; Chuyển trạng thái ký thành công
DB trả về dữ liệu tại bảng IC_REPORT_ASSIGN và IC_REPORT được update ở trường STATUS tương ứng với trạng thái của biên bản bàn giao.</t>
  </si>
  <si>
    <t>Hệ thống hiển thị thông tin biên bản tại Data grid Danh sách biên bản
Click [Duyệt] -&gt; hệ thống hiển thị popup Xem biên bản và có button [Ký] để người dùng Ký duyệt biên bản đang xem
Với mỗi role ký DB trả về dữ liệu tại bảng IC_REPORT được update ở trường STATUS tương ứng với trạng thái của biên bản đối soát. Dữ liệu tại bảng IC_REPORT_DETAIL không bị thay đổi</t>
  </si>
  <si>
    <t>Hệ thống hiển thị thông tin biên bản tại Data grid Danh sách biên bản
Click [Duyệt] -&gt; hệ thống hiển thị popup Xem biên bản và có button [Ký] để người dùng Ký duyệt biên bản đang xem
DB trả về dữ liệu tại bảng IC_REPORT được update ở trường STATUS = 24 -&gt; 25 
DB trả về dữ liệu tại bảng IC_INVOICE và IC_INVOICE_DETAIL với dữ liệu đúng với luồng cũ của hệ thống</t>
  </si>
  <si>
    <t>3.6.2. /u01/doisoat/new_tomcat_VSA/new_tomcat_passport_8566/test_passport_8566_tomcat7: passport của portal (103+104)</t>
  </si>
  <si>
    <t>Sự kiện Tìm kiếm -&gt; truy vấn trong DB tương ứng</t>
  </si>
  <si>
    <t>1. Truy cập màn hình mặc định
2. Kiểm tra Data grid Danh sách luồng công việc đối chiếu với WORK_FLOW_TYPE được khai báo tại màn App_params
3. Thực hiện truy vấn trên DB và đối chiếu các bản ghi
select * from WORK_FLOW;</t>
  </si>
  <si>
    <t>Các bản ghi tại danh sách trên màn hình và dữ liệu được DB trả về khớp nhau</t>
  </si>
  <si>
    <t>Kiểm tra màn hình Luồng công việc theo Hợp Đồng (hệ thống tự động tìm kiếm và fill sẵn kết quả lên Data grid)</t>
  </si>
  <si>
    <t>1. Chọn 1 luồng công việc bất kỳ (VD: Luồng đối soát đơn vị ngoài - STT 16)
2. Click Tab Chi tiết luồng công việc, kiểm tra Data grid các bước của luồng công việc đối chiếu với IC_REPORT_STATUS_EXT được khai báo tại màn App_params với các giá trị tương ứng
3. Thực hiện truy vấn trên DB và đối chiếu các bản ghi
select * from WORK_FLOW_DETAIL where WORD_FLOW_ID = 407 (ID của luồng công việc đã chọn)</t>
  </si>
  <si>
    <t>Các bản ghi tại danh sách trên màn hình và dữ liệu được DB trả về khớp nhau (giá trị theo từng step khớp nhau và ID tăng dần theo mỗi step tương ứng với việc sắp xếp trên UI)</t>
  </si>
  <si>
    <t>Kiểm tra màn hình Giao hợp đồng cho nhân viên kiểm tra xác nhận (Thực hiện nhập tiêu chí tìm kiếm và bản ghi được trả về tại Data grid)</t>
  </si>
  <si>
    <t>1. Truy cập màn hình mặc định
2. Nhập thông tin tìm kiếm -&gt; Click [Tìm kiếm] -&gt; Kiểm tra Data grid [Danh sách nhân viên]
VD: 
- Đối tác = YEAH1
- Phòng ban = Phòng đối soát
- Trạng thái = Tất cả
- Trạng thái khóa = Tất cả
- Loại công việc = Tất cả
- Trạng thái công việc = Tất cả
3. Thực hiện truy vấn trên DB và đối chiếu bản ghi
select * from CONTRACT_STAFF where DEPT_ID = 11 and CONTRACT_ID in (select CONTRACT_ID from CONTRACT where PARTNER_ID in (select PARTNER_ID from PARTNER where CODE = 'YEAH1'));</t>
  </si>
  <si>
    <t>Các bản ghi tại danh sách trên màn hình và dữ liệu được DB trả về khớp nhau (như VD Data grid rỗng và trên DB cũng rỗng)</t>
  </si>
  <si>
    <t>Thực hiện kiểm tra thêm với các màn hình khác và các tiêu chí khác để tăng nhiều mẫu thử</t>
  </si>
  <si>
    <t>3.6.4. /u01/doisoat/htds_web_portal/tomcat_8762 :  portal (105+106)</t>
  </si>
  <si>
    <t>3.6.5. /u01/doisoat/htds_process_8386 : Tiến trình gửi mail các cảnh báo liên quan của biên bản (103+104)</t>
  </si>
  <si>
    <t>3.6.6. /u01/doisoat/processes/process_upgradethread : Tiến trình chạy các tiến trình xử lý dữ liệu VAS (103+104)</t>
  </si>
  <si>
    <t>3.6.7. /u01/doisoat/processes/tomcat_processes_9877 : tomcat quản lý tiến trình (103)</t>
  </si>
  <si>
    <t>3.6.8. /u01/doisoat/HDDT/app1_erp : tạo hóa đơn điện tử EInvoice, đồng bộ hóa đơn (103+104)</t>
  </si>
  <si>
    <t>1. Thực hiện Trình ký Voffice PYC đã tạo và gửi file để ký trên Voffice
2. Kiểm tra DB bảng REQUIREMENT_FORM
select * from REQUIREMENT_FORM where REQUIREMENT_FORM_ID = '…ID của PYC nêu trên...' 
3. Kiểm tra DB bảng REQUEST_FORM_VOFFICE
select * from REQUEST_FORM_VOFFICE where REQUIREMENT_FORM_ID = '...ID của PYC nêu trên...'</t>
  </si>
  <si>
    <t>3.6.1. /u01/doisoat/tomcat_vsa_8568: VSA của portal
Đăng nhập thành công bằng tài khoản admin hệ thống (sys/We****10)</t>
  </si>
  <si>
    <t>1. Thêm mới thành công 1 bản ghi vào Tab Khung chính sách
2. Kiểm tra DB bảng REQUIREMENT_POLICY
select * from REQUIREMENT_FORM where REQUIREMENT_FORM_ID = '…ID của PYC nêu trên...' 
VD: 02-VAS/VTT-FTECH/BUNDLEDATA/887894336699AAAA</t>
  </si>
  <si>
    <t>Thực hiện kiểm tra thêm với các màn hình khác và nhiều dữ liệu đc input hơn để tăng mẫu thử</t>
  </si>
  <si>
    <t>- Pre: Luồng xem biên bản bàn giao và ký duyệt biên bản bàn giao + luồng xem biên bản đối soát và ký duyệt biên bản đối soát của Đơn vị ngoài tại Portal đã hoàn thành (3.6.4. Portal - Phần ký duyệt của đơn vị ngoài)
Luồng Phòng tài chính nhận biên bản đói soát
1. Đăng nhập HTDS -&gt; menu -&gt; Quản lý đối soát đơn vị ngoài -&gt;  Quản lý đơn vị ngoài -&gt; Lãnh đạo phòng tài chính duyệt biên bản đối soát
2. Tìm kiếm biên bản đối soát vừa tổng hợp
3. Click [Duyệt]
4. Kiểm tra DB bảng IC_REPORT
5. Kiểm tra DB bảng IC_INVOICE và IC_INVOICE_DETAIL</t>
  </si>
  <si>
    <t>-Pre: Biên bản bàn giao đã được Lãnh đạo Phòng Đối soát ký duyệt thành công
Luồng xem biên bản bàn giao và ký duyệt biên bản bàn giao của Đơn vị ngoài
1. Đăng nhập HTDS -&gt; menu -&gt; Đơn vị ngoài Đối soát -&gt; Nhận biên bản
2. Tìm kiếm biên bản bàn giao vừa được tổng hợp
3. Click [Duyêt]
4. Kiểm tra DB bảng IC_REPORT_ASSIGN và IC_REPORT</t>
  </si>
  <si>
    <t>Kiểm tra màn hình Quản lý đối soát chính thức -&gt; Nhân viên đối tác xác nhận-đối soát chính thức</t>
  </si>
  <si>
    <t>1. Truy cập màn hình mặc định
2. Nhập thông tin tìm kiếm -&gt; Click [Tìm kiếm] -&gt; Kiểm tra Data grid [Danh sách biên bản đối soát]
3. Kiểm tra trên HTDS, đối chiếu với IC_REPORT_STATUS được khai báo tại màn App_params với các giá trị tương ứng
VD: 
- Kỳ đối soát = 01/01/2020
- Trạng thái = Biên bản được giao cho nhân viên đối tác xác nhận – đối soát
- Hợp đồng =  Rỗng
3. Thực hiện truy vấn trên DB và đối chiếu bản ghi
select * from IC_REPORT where IC_CYCLE_DATE = '01-jan-2020' and STATUS = 2</t>
  </si>
  <si>
    <t>1. Truy cập màn hình mặc định
2. Nhập thông tin tìm kiếm -&gt; Click [Tìm kiếm] -&gt; Kiểm tra Data grid [Danh sách biên bản đối soát]
3. Kiểm tra trên HTDS, đối chiếu với IC_REPORT_STATUS được khai báo tại màn App_params với các giá trị tương ứng
VD: 
- Kỳ đối soát = 01/01/2020
- Trạng thái = Biên bản bàn giao chưa nhận
- Loại biên bản = Tất cả
- Mã biên bản bàn giao = BBBG_TEST_DONVINGOAI_01112021_10359
3. Thực hiện truy vấn trên DB và đối chiếu bản ghi
+ select * from IC_REPORT where IC_CYCLE_DATE = '01-nov-2021' and STATUS = 18 and IC_REPORT_TYPE = 7 and CONTRACT_CODE = '001-CSP/TLC-TOANMYINTERNATIONAL/1900VOICE/2017';
+ select * from IC_REPORT_ASSIGN where IC_CYCLE_DATE = '01-nov-2021' and STATUS = 18 and CODE = 'BBBG_TEST_DONVINGOAI_01112021_10359';</t>
  </si>
  <si>
    <t>Các luồng chính của HTĐS_VAS -&gt; được xử lý cả trên PORTAL -&gt; dẫn tới sự kiện thay đổi dữ liệu lớn trong DB tại các bảng liên quan</t>
  </si>
  <si>
    <t>Luồng xem biên bản đối soát và ký duyệt biên bản đối soát của Đơn vị ngoài
1. Đăng nhập HTDS -&gt; menu -&gt; Đơn vị ngoài Đối soát -&gt; Đơn vị ngoài in kí biên bản đối soát
2. Tìm kiếm biên bản bàn giao vừa được tổng hợp
3. Click [Duyệt]
4. Làm tương tự với các role khác theo luồng ký duyệt biên bản đối soát của Đơn vị ngoài từ Đơn vị ngoài -&gt; Lãnh đạo Đơn vị ngoài
5. Kiểm tra DB bảng IC_REPORT_ASSIGN và IC_REPORT</t>
  </si>
  <si>
    <t>-Pre: Biên bản đối soát chính thức đã được Lãnh đạo Phòng Đối soát ký duyệt thành công
Luồng xem biên bản đối soát chính thức và ký duyệt biên bản bàn giao của Đối tác trên Portal
1. Đăng nhập HTDS_PORTAL -&gt; menu -&gt; Quản lý đối soát chính thức -&gt; Nhân viên đối tác xác nhận-đối soát chính thức
2. Tìm kiếm biên bản bàn giao vừa được tổng hợp
3. Click [Duyệt] 
4. Làm tương tự với các role khác theo luồng ký duyệt biên bản chính thức của đối tác trên Portal từ Nhân viên đối tác xác nhận-đối soát chính thức -&gt; Nhân viên đối tác xác nhận-kỹ thuật chính thức -&gt; Nhân viên đối tác xác nhận-tài chính chính thức -&gt; Lãnh đạo đối tác ký/duyệt chính thức
5. Kiểm tra DB bảng IC_REPORT và IC_REPORT_DETAIL</t>
  </si>
  <si>
    <t>Hệ thống hiển thị thông tin biên bản tại Data grid Danh sách biên bản đối soát
Click [Duyệt] -&gt; Chuyển trạng thái biên bản đối soát thành công
Với mỗi role ký DB trả về dữ liệu tại bảng IC_REPORT được update ở trường STATUS tương ứng với trạng thái của biên bản chính thức. Dữ liệu tại bảng IC_REPORT_DETAIL không bị thay đổi</t>
  </si>
  <si>
    <t>Hệ thống hiển thị thông tin biên bản tại Data grid Danh sách biên bản
Click [Duyệt] -&gt; Chuyển trạng thái ký thành công
Với mỗi role ký DB trả về dữ liệu tại bảng IC_REPORT và IC_REPORT_ASSIGN được update ở trường STATUS tương ứng với trạng thái của biên bản chính thức.</t>
  </si>
  <si>
    <t>Luồng Phòng tài chính nhận biên bản
1. Đăng nhập HTDS -&gt; menu -&gt; Quản lý đối soát -&gt; Quản lý biên bản đối soát chính thức -&gt; Tài chính xem và thanh toán biên bản chính thức
2. Tìm kiếm biên bản chính thức vừa tổng hợp
3. Click [View report] -&gt; Hiển thị popup Xem file -&gt; Click [Ký]
4. Kiểm tra DB bảng IC_REPORT
5. Kiểm tra DB bảng IC_INVOICE và IC_INVOICE_DETAIL</t>
  </si>
  <si>
    <t>Thực hiện kiểm tra thêm với các bản ghi biên bản chính thức khác để tăng mẫu thử</t>
  </si>
  <si>
    <t>Kiểm tra hành động gửi email của tiến trình khi thực hiện tổng hợp biên bản thành công</t>
  </si>
  <si>
    <t>Hệ thống sẽ gửi email tuần tự theo danh sách lấy được từ Ưu tiên 1, thực hiện xong sẽ gửi tiếp Email cho ưu tiên 2, thực hiện xong sẽ gửi tiếp Email cho ưu tiên 3 nhưng do ưu tiên 3 không có kết quả -&gt; ko có email tới ưu tiên 3</t>
  </si>
  <si>
    <t>Kiểm tra theo các luồng ký biên bản trên HTĐS_VAS</t>
  </si>
  <si>
    <t>1. Tổng hợp thành công 1 biên bản chính thức
2. Kiểm tra danh sách email được khai báo nhận biên bản phí đầu số liên quan
---- như trên ----
3. Truy cập port mail dev kiểm tra action hệ thống gửi email đến các mail đã dược khai báo</t>
  </si>
  <si>
    <t>1. Tổng hợp thành công 1 biên bản đối soát đơn vị ngoài
2. Kiểm tra danh sách email được khai báo nhận biên bản phí đầu số liên quan
---- như trên ----
3. Truy cập port mail dev kiểm tra action hệ thống gửi email đến các mail đã dược khai báo</t>
  </si>
  <si>
    <t>Hệ thống sẽ gửi email cho địa chỉ mail được query ra theo câu lệnh</t>
  </si>
  <si>
    <t>1. Ký thành công 1 biên bản phí đầu số cho đến hết (phòng tài chính xác nhận biên bản)
2. Kiểm tra danh sách email được khai báo nhận hóa đơn phí đầu số liên quan
*Ưu tiên 1: partnerUser.getInvoiceEmail()
+ select INVOICE_EMAIL from PARTNER_USER where PARTNER_ID = '…ID của đối tác tương ứng...';
* Ưu tiên 2: partnerUser.getEmail()
select EMAIL from PARTNER_USER where PARTNER_ID = '…ID của đối tác tương ứng...';
* Ưu tiên 3: individual.getEmail()
select EMAIL from INDIVIDUAL where INDIVIDUAL_CODE = ''…CODE của đối tác tương ứng...'
3. Truy cập port mail dev kiểm tra action hệ thống gửi email đến các mail đã dược khai báo</t>
  </si>
  <si>
    <t>1. Tổng hợp thành công 1 biên bản phí đầu số
2. Kiểm tra danh sách email được khai báo nhận biên bản phí đầu số liên quan
select EMAIL from INDIVIDUAL where INDIVIDUAL_CODE = ''…CODE của đối tác tương ứng...'
3. Truy cập port mail dev kiểm tra action hệ thống gửi email đến các mail đã dược khai báo</t>
  </si>
  <si>
    <t>1. Ký thành công 1 biên bản chính thức số cho đến hết (phòng tài chính xác nhận biên bản)
2. Kiểm tra danh sách email được khai báo nhận hóa đơn phí đầu số liên quan
*Ưu tiên 1: partnerUser.getInvoiceEmail()
+ select INVOICE_EMAIL from PARTNER_USER where PARTNER_ID = '…ID của đối tác tương ứng...';
* Ưu tiên 2: partnerUser.getEmail()
select EMAIL from PARTNER_USER where PARTNER_ID = '…ID của đối tác tương ứng...';
* Ưu tiên 3: individual.getEmail()
select EMAIL from INDIVIDUAL where INDIVIDUAL_CODE = ''…CODE của đối tác tương ứng...'
3. Truy cập port mail dev kiểm tra action hệ thống gửi email đến các mail đã dược khai báo</t>
  </si>
  <si>
    <t>1. Ký thành công 1 biên bản đối soát đơn vị ngoài cho đến hết (phòng tài chính xác nhận biên bản)
2. Kiểm tra danh sách email được khai báo nhận hóa đơn phí đầu số liên quan
*Ưu tiên 1: partnerUser.getInvoiceEmail()
+ select INVOICE_EMAIL from PARTNER_USER where PARTNER_ID = '…ID của đối tác tương ứng...';
* Ưu tiên 2: partnerUser.getEmail()
select EMAIL from PARTNER_USER where PARTNER_ID = '…ID của đối tác tương ứng...';
* Ưu tiên 3: individual.getEmail()
select EMAIL from INDIVIDUAL where INDIVIDUAL_CODE = ''…CODE của đối tác tương ứng...'
3. Truy cập port mail dev kiểm tra action hệ thống gửi email đến các mail đã dược khai báo</t>
  </si>
  <si>
    <t>Luồng Phòng tài chính nhận biên bản
1. Đăng nhập HTDS -&gt; menu -&gt; Quản lý phí đầu số -&gt; phòng tài chính nhận biên bản
2. Tìm kiếm biên bản phí đầu số vừa tổng hợp
- Nhập Loại chi phí: IMUZIK_NUMBER_FEE
- Nhập kỳ muốn tổng hợp: 11/2025
3. Click [Duyệt]
4. Kiểm tra DB bảng IC_SC_COST_REPORT
select * from IC_SC_COST_REPORT where TYPE_COST_ID = '...ID của loại chi phí đã nhập...' AND TIME_SUM = '01-nov-2025';
5. Kiểm tra DB bảng IC_SC_COST_INVOICE
select * from IC_SC_COST_INVOICE where IC_SC_COST_REPORT_ID = '...ID của biên bản tỏng bảng IC_SC_COST_REPORT...'</t>
  </si>
  <si>
    <t>- Pre: Đã tổng hợp biên bản phí đầu số thành công
Luồng xem biên bản phí đầu số và ký duyệt biên bản
1. Đăng nhập HTDS -&gt; menu -&gt; Quản lý phí đầu số -&gt; Nhân viên đối soát duyệt
2. Tìm kiếm biên bản phí đầu số vừa tổng hợp
- Nhập Loại chi phí: IMUZIK_NUMBER_FEE
- Nhập kỳ muốn tổng hợp: 11/2025
3. Click [Duyệt]
4. Làm tương tự với các role khác theo luồng ký duyệt biên bản phí đầu số từ nhân viên phòng đối soát -&gt; Nhân viên phòng đảm bảo doanh thu -&gt; Lãnh đạo phòng đối soát -&gt; Giám đốc TT ĐS (ký CA) -&gt; Phòng tài chính nhận biên bản
5. Kiểm tra DB bảng IC_SC_COST_REPORT
select * from IC_SC_COST_REPORT where TYPE_COST_ID = '...ID của loại chi phí đã nhập...' AND TIME_SUM = '01-nov-2025';</t>
  </si>
  <si>
    <t>- Pre: Đã tổng hợp dữ liệu đối soát VAS theo hợp đồng thành công
Luồng Tổng hợp biên bản đối soát
1. Đăng nhập HTDS -&gt; menu -&gt; Tiện ích -&gt;  Tổng hợp biên bản đối soát
2. Tổng hợp biên bản đối soát cho dữ liệu đối soát VAS theo hợp đồng vừa tổng hợp ở bước trước
3. Kiểm tra DB bảng IC_REPORT và IC_REPORT_DETAIL</t>
  </si>
  <si>
    <t>Tổng hợp biên bản theo luồng ký biên bản phí đầu số</t>
  </si>
  <si>
    <t>Tổng hợp biên bản chính thức/ biên bản đối soát đơn vị ngoài</t>
  </si>
  <si>
    <t>Luồng Tổng hợp dữ liệu đối soát VAS theo hợp đồng
1. Đăng nhập HTDS -&gt; menu -&gt; Tiện ích -&gt; Tổng hợp dữ liệu đối soát VAS theo hợp đồng
2. Tổng hợp 1 biên bản cho 1 HĐ bất kỳ có Is_External_Unit = 0 (Hợp đồng không được gán cho đơn vị ngoài) hoặc Is_External_Unit = 1 ( Hợp đồng được gán cho đơn vị ngoài) và hợp đồng đang hoạt động đến thời điểm tổng hợp
3. Kiểm tra DB bảng IC_DATA và IC_DATA_DETAIL</t>
  </si>
  <si>
    <t>Kiểm tra tính chính xác của dữ liệu
1. Đăng nhập HTDS -&gt; menu -&gt; Quản lý phí đầu số -&gt; Tổng hợp biên bản phí đầu số -&gt; Tổng hợp 1 biên bản phí đầu số cho 1 HĐ bất kỳ
2. Truy cập DB, query bảng IC_SC_COST_REPORT và IC_SC_COST_REPORT_DETAIL để kiểm tra dữ liệu tổng hợp
3. Truy cập DB -&gt; Schema -&gt; Tiền trình (ic_sc_cost_report) và thực hiện chạy tiến trình
4. query bảng IC_SC_COST_REPORT và IC_SC_COST_REPORT_DETAIL để kiểm tra dữ liệu tổng hợp
5. Thực hiện lấy câu lệnh của Tiến trình (IC_SC_COST_REPORT) và thực hiện chạy chỉ với câu lệnh select (mục đích: check dữ liệu được truy vấn ra) và kiểm tra so sánh</t>
  </si>
  <si>
    <t>Dữ liệu trả về tại bước 2 và bước 4 giống hệt nhau
Dữ liệu trả về tại bước 5 khớp với dữ liệu tại bước 2 và bước 4</t>
  </si>
  <si>
    <t xml:space="preserve">Dữ liệu trả về tại bước 2 và bước 4 giống hệt nhau
</t>
  </si>
  <si>
    <t>Kiểm tra tính chính xác của procedure tổng hợp dữ liệu đối soát VAS theo hợp đồng
1. Đăng nhập HTDS -&gt; menu -&gt; Tiện ích -&gt; Tổng hợp dữ liệu đối soát VAS theo hợp đồng -&gt; Tổng hợp dữ liệu đối soát VAS cho 1 HĐ bất kỳ
2. Truy cập DB, query bảng IC_DATA và IC_DATA_DETAIL để kiểm tra dữ liệu tổng hợp
3. Truy cập DB -&gt; Schema -&gt; Tiền trình (PCK_SUM_IC_DATA_DETAIL) và thực hiện chạy tiến trình
4. query bảng IC_DATA và IC_DATA_DETAIL để kiểm tra dữ liệu tổng hợp</t>
  </si>
  <si>
    <t>Kiểm tra tính chính xác của procedure tổng hợp biên bản đối soát chính thức / biên bản đối soát đơn vị ngoài
1. Đăng nhập HTDS -&gt; menu -&gt; Tiện ích -&gt; Tổng hợp biên bản đối soát -&gt; Tổng hợp biên bản cho 1 HĐ bất kỳ
2. Truy cập DB, query bảng IC_REPORT và IC_REPORT_DETAIL để kiểm tra dữ liệu tổng hợp
3. Truy cập DB -&gt; Schema -&gt; Tiền trình (PCK_SUM_IC_REPORT) và thực hiện chạy tiến trình
4. query bảng IC_REPORT và IC_REPORT_DETAIL để kiểm tra dữ liệu tổng hợp</t>
  </si>
  <si>
    <t>1. Mở script tại DB HTDS_VAS 11g
2. Nhập câu lệnh query:
-- Test DROP
DROP TABLE DB19cTEST@link_to_19c;
-- Kiểm tra kết quả
SELECT * FROM rDB11GTEST@link_to_19c;</t>
  </si>
  <si>
    <r>
      <t xml:space="preserve">- Pre: Đã tổng hợp dữ liệu đối soát VAS theo hợp đồng thành công
Luồng Tổng hợp biên bản đối soát -&gt; Tổng hợp biên bản đối soát thành công
Luồng xem biên bản chính thức và ký duyệt biên bản
1. Đăng nhập HTDS -&gt; menu -&gt; Quản lý đối soát -&gt; Quản lý biên bản đối soát chính thức -&gt; Nhân viên đối soát xác nhận biên bản chính thức
2. Tìm kiếm biên bản chính thức vừa tổng hợp
3. Click [View report] -&gt; Hiển thị popup Xem file -&gt; Click [Ký]
4. Làm tương tự với các role khác theo luồng ký duyệt biên bản phí đầu số từ nhân viên phòng đối soát -&gt; Nhân viên phòng đảm bảo doanh thu -&gt; Lãnh đạo phòng đối soát -&gt; </t>
    </r>
    <r>
      <rPr>
        <sz val="12"/>
        <color rgb="FFFF0000"/>
        <rFont val="Times New Roman"/>
        <family val="1"/>
      </rPr>
      <t>Luồng ký của Đối tác trên PORTAL (3.6.4)</t>
    </r>
    <r>
      <rPr>
        <sz val="12"/>
        <color theme="1"/>
        <rFont val="Times New Roman"/>
        <family val="1"/>
      </rPr>
      <t xml:space="preserve"> -&gt;Giám đốc TT ĐS (ký CA) -&gt; Phòng tài chính nhận biên bản
5. Kiểm tra DB bảng IC_REPORT VÀ IC_REPORT_DETAIL</t>
    </r>
  </si>
  <si>
    <t>- Pre: Đã tổng hợp dữ liệu đối soát VAS theo hợp đồng thành công
Luồng Tổng hợp biên bản đối soát -&gt; Tổng hợp biên bản đối soát thành công
Luồng xem biên bản đối soát và ký duyệt biên bản
1. Đăng nhập HTDS -&gt; menu -&gt; Quản lý đối soát -&gt; Quản lý biên bản đối soát chính thức -&gt; Nhân viên đối soát xác nhận biên bản chính thức
2. Tìm kiếm biên bản chính thức vừa tổng hợp
3. Click [View report] -&gt; Hiển thị popup Xem file -&gt; Click [Ký]
4. Làm tương tự với các role khác theo luồng ký duyệt biên bản đối soát từ nhân viên phòng đối soát -&gt; Nhân viên phòng đảm bảo doanh thu -&gt; (Lãnh đạo phòng ĐBDT) -&gt; Lãnh đạo phòng đối soát
5. Kiểm tra ĐB bảng IC_REPORT và IC_REPORT_DETAIL</t>
  </si>
  <si>
    <t>Luồng ký biên bản Quản lý phí đầu số</t>
  </si>
  <si>
    <t>Luồng ký biên bản chính thức</t>
  </si>
  <si>
    <t>Luồng ký biên bản Đơn vị ngoài</t>
  </si>
  <si>
    <t>- Pre: Đã tổng hợp dữ liệu đối soát VAS theo hợp đồng thành công
Luồng Tổng hợp biên bản đối soát -&gt; Tổng hợp biên bản đối soát thành công -&gt; Ký đến bước Lãnh đạo phòng đối soát Duyệt biên bản
Luồng tổng hợp BBBG (luồng ký biên bản ĐVN)
1. Đăng nhập HTDS -&gt; menu -&gt; Quản lý đối soát -&gt; Quản lý biên bản đối soát chính thức -&gt; Tổng hợp biên bản bàn giao
2. Tìm kiếm biên bản chính thức vừa được Lãnh đạo PĐS ký duyệt
3. Click [View report] -&gt; Hiển thị popup Xem file -&gt; Click [Ký]
4. Làm tương tự với các role khác theo luồng ký duyệt biên bản bàn giao đơn vị ngoài từ Nhân viên đối soát duyệt BBBG -&gt; Lãnh đạo phòng đối soát duyệt BBBG -&gt; Lãnh đạo trung tâm đối soát duyệt BBBG
5. Kiểm tra DB bảng IC_REPORT_ASSIGN và IC_REPORT</t>
  </si>
  <si>
    <t>Kiểm tra khi có bất kỳ sự kiện thay đổi nào ở VSA portal</t>
  </si>
  <si>
    <t>1. Truy cập link passport của PORTAL
2. Thực hiện thay đổi (thêm mới, sửa, xóa,…) trên VSA portal
3. Truy cập lại PORTAL</t>
  </si>
  <si>
    <t>Hệ thống yêu cầu refresh lại trang passport</t>
  </si>
  <si>
    <t>Tìm kiếm tại màn hình User -&gt; Manage user</t>
  </si>
  <si>
    <t>1. Truy cập màn hình Manage User -&gt; Tìm kiếm all
2. Truy cập DB và query bảng  USERS
select * from USERS;</t>
  </si>
  <si>
    <t>Các bản ghi hiển thị tại Data Grid trùng khớp với DB trả về cả số lượng và dữ liệu</t>
  </si>
  <si>
    <t>Thêm mới bản ghi tại màn hình User -&gt; Manage user type</t>
  </si>
  <si>
    <t>1. Truy cập màn hình Manage User Type -&gt; Thực hiện thêm mới thành công 1 bản ghi bất kỳ (nhập dữ liệu hợp lệ)
2. Truy cập DB và query bảng  USER_TYPE;
select * from USER_TYPE;</t>
  </si>
  <si>
    <t>Bản ghi mới được thêm vào bảng USER_TYPE với dữ liệu đúng như đã nhập trên UI</t>
  </si>
  <si>
    <t>Xóa bản ghi tại màn hình User -&gt; Manage user type</t>
  </si>
  <si>
    <t>1. Truy cập màn hình Manage User Type -&gt; Thực hiện xóa bản ghi vừa được thêm mới ở trên
2. Truy cập DB và query bảng  USER_TYPE;
select * from USER_TYPE;</t>
  </si>
  <si>
    <t>Bản ghi mới được thêm vào bảng USER_TYPE đã được xóa khỏi bảng, trên UI cũng không còn hiển thị bản ghi đó</t>
  </si>
  <si>
    <t>Kiểm tra đăng nhập portal với tài khoản có quyền truy cập đầy đủ</t>
  </si>
  <si>
    <t>1. Truy cập link passport của PORTAL
2. Nhập thông tin tài khoản và đăng nhập</t>
  </si>
  <si>
    <t>Hệ thống validate và access cho phép đăng nhập vào hệ thống portal</t>
  </si>
  <si>
    <t>Kiểm tra tiến trình đồng bộ sao kê SAP</t>
  </si>
  <si>
    <t>1. Đăng nhập HTĐS -&gt; Menu -&gt; Tiện ích -&gt; Cấu hình tiến trình -&gt; Chọn tiến trình đồng bộ sao kê từ SAP
2. Click [Sửa] -&gt; Nhập cấu hình thời gian phù hợp -&gt; Click [Xác nhận] -&gt; Click [Start]
3. Kiểm tra khi đến thời gian chạy đồng bộ dữ liệu
4. Click [Danh sách lịch sử] -&gt; Kiểm tra lưu lại lịch sử chạy đồng bộ
5. Thực hiện call API bằng Postman và đối chiếu với DB bảng IC_REPORT_PAYMENT_SAP -&gt; Kiểm tra tính chính xác của dữ liệu được lưu</t>
  </si>
  <si>
    <t>3. Hệ thống thực hiện call API để đồng bộ dữ liệu của SAP tương ứng
Sau đó thực hiện đọc response từ API và lưu vào HTĐS
4. Danh sách lịch sửa trả về thông tin đầy đủ liên quan đến API HTĐS đã call tới SAP, chi tiết được lưu tại trong DB bảng VAS_PROCESS_LOG.Body_request
5. Kiểm tra tính tương đối của dữ liệu ở response API và DB bảng IC_REPORT_PAYMENT_SAP đã lưu thì đạt. Kiểm tra tính tuyệt đối của 5-7 dữ liệu ngẫu nhiên ở response API và DB bảng IC_REPORT_PAYMENT_SAP đã lưu thì chính xác</t>
  </si>
  <si>
    <t>1. Đăng nhập HTĐS -&gt; Menu -&gt; Tiện ích -&gt; Cấu hình tiến trình -&gt; Chọn tiến trình đồng bộ sao kê từ SAP
2. Click [Chạy ngay] -&gt; Nhập tham số -&gt; Click [Chạy ngay]
3. Kiểm tra chạy đồng bộ dữ liệu
4. Click [Danh sách lịch sử] -&gt; Kiểm tra lưu lại lịch sử chạy đồng bộ
5. Thực hiện call API bằng Postman và đối chiếu với DB bảng IC_REPORT_PAYMENT_SAP -&gt; Kiểm tra tính chính xác của dữ liệu được lưu</t>
  </si>
  <si>
    <t>3. Hệ thống thực hiện call API để đồng bộ dữ liệu của SAP tương ứng ngay lập tức
Sau đó thực hiện đọc response từ API và lưu vào HTĐS
4. Danh sách lịch sửa trả về thông tin đầy đủ liên quan đến API HTĐS đã call tới SAP, chi tiết được lưu tại trong DB bảng VAS_PROCESS_LOG.Body_request
5. Kiểm tra tính tương đối của dữ liệu ở response API và DB bảng IC_REPORT_PAYMENT_SAP đã lưu thì đạt. Kiểm tra tính tuyệt đối của 5-7 dữ liệu ngẫu nhiên ở response API và DB bảng IC_REPORT_PAYMENT_SAP đã lưu thì chính xác</t>
  </si>
  <si>
    <t>Kiểm tra tiến trình đồng bộ sao kê BIDV</t>
  </si>
  <si>
    <t>3. Hệ thống thực hiện call API để đồng bộ dữ liệu của BIDV tương ứng
Sau đó thực hiện đọc response từ API và lưu vào HTĐS
4. Danh sách lịch sửa trả về thông tin đầy đủ liên quan đến API HTĐS đã call tới BIDV, chi tiết được lưu tại trong DB bảng VAS_PROCESS_LOG.Body_request
5. Kiểm tra tính tương đối của dữ liệu ở response API và DB bảng IC_BIDV_TRANSACTION đã lưu thì đạt. Kiểm tra tính tuyệt đối của 5-7 dữ liệu ngẫu nhiên ở response API và DB bảng IC_BIDV_TRANSACTION đã lưu thì chính xác</t>
  </si>
  <si>
    <t>3. Hệ thống thực hiện call API để đồng bộ dữ liệu của BIDV tương ứng ngay lập tức
Sau đó thực hiện đọc response từ API và lưu vào HTĐS
4. Danh sách lịch sửa trả về thông tin đầy đủ liên quan đến API HTĐS đã call tới BIDV, chi tiết được lưu tại trong DB bảng VAS_PROCESS_LOG.Body_request
5. Kiểm tra tính tương đối của dữ liệu ở response API và DB bảng IC_BIDV_TRANSACTION đã lưu thì đạt. Kiểm tra tính tuyệt đối của 5-7 dữ liệu ngẫu nhiên ở response API và DB bảng IC_BIDV_TRANSACTION đã lưu thì chính xác</t>
  </si>
  <si>
    <t>Kiểm tra tiến trình cảnh báo</t>
  </si>
  <si>
    <t>4. Hệ thống hiển thị các thông tin trong email sẽ gửi đi bào gồm nội dung email và file đính kèm. Click download file đính kèm và mở ra kiểm tra -&gt; File đính kèm xử lý theo đúng câu lệnh scripts đã nhập
5. Hiển thị email kèm file đính kèm đúng nội dung và định dạng hệ thống đã gửi đi</t>
  </si>
  <si>
    <t>1. Đăng nhập HTĐS -&gt; Menu -&gt; Tiện ích -&gt; Tiến trình cảnh báo
2. Click chọn folder và thêm mới tiến trình gửi email cảnh báo
3. Nhập các thông tin, tham số hợp lệ
4. Click [Test cảnh báo] -&gt; Kiểm tra cảnh báo hệ thống sẽ gửi -&gt; Gửi cảnh báo
5. truy cập link server gửi mail kiểm tra
(Data mẫu: folder DOISOAT -&gt; Test_email_updateDB19C)</t>
  </si>
  <si>
    <t>Kiểm tra đăng nhập portal và truy cập tính năng bất kỳ để thực hiện tìm kiếm</t>
  </si>
  <si>
    <t xml:space="preserve">1. Truy cập link passport của PORTAL
2. Truy cập PORTAL bằng tài khoản (dt_nhanvien)
3. Kiểm tra </t>
  </si>
  <si>
    <t>Tài khoản dt_nhanvien đang được gắn cho đối tác BIDV_1900 (partner_id = 54887)
Thực hiện tìm kiếm bất kỳ ở màn nào
VD: Menu -&gt; Quản lý đối soát chính thức -&gt;  Nhân viên đối tác xác nhận-đối soát chính thức. Thực hiện tìm kiếm All thì sẽ hiển thị ra các BBCT có đối tác là BIDV_1900 ở tại tất cả các kỳ</t>
  </si>
  <si>
    <t>Kiểm tra hành động gửi email của tiến trình khi thực hiện tạo hóa dơn (khi kết thúc luồng ký và được phòng tài chính xác nhận ký duyệt biên bản)</t>
  </si>
  <si>
    <t>Kiểm tra tiến trình đồng bộ hóa đơn</t>
  </si>
  <si>
    <t>Kiểm tra tiến trình đồng bộ dữ liệu jasper vào DB</t>
  </si>
  <si>
    <t>2. Kiểm tra trước khi xem file, theo VD Tổng tiền = 110,000
3. Xem file biên bản, biên bản thể hiện số 109,989
4. Reload sau khi xem biên bản Tổng tiền hiển thị = 109,989
5. Kiểm tra DB bản IC_REPORT theo query thì TOTAL AMOUNT được cập nhật = 109,989</t>
  </si>
  <si>
    <t>Pre: Chọn HĐ mẫu: 001-GPDN/HCM-CUAVIET/1900VOICE/2018 - kỳ 01/01/2020
1. Tổng hợp dữ liệu biên bản cho hợp đồng (theo kỳ)
2. Kiểm tra trước khi xem file biên bản
3. Thực hiện Xem file biên bản
4. Reload tìm kiếm lại biên bản sau khi xem
5. Kiểm tra DB bảng IC_REPORT theo câu query
select * from IC_REPORT where CONTRACT_CODE = '...nhập trên...' and IC_CYCLE_DATE = '01-jan-2020'</t>
  </si>
  <si>
    <t>Kiểm tra tiến trình tạo hóa đơn điện tử</t>
  </si>
  <si>
    <t>Pre: Chọn HĐ mẫu: 001-GPDN/HCM-CUAVIET/1900VOICE/2018 - kỳ 01/01/2020
1. Tổng hợp dữ liệu biên bản cho hợp đồng (theo kỳ)
2. Thực hiện ký đến cuối cùng (Phòng TC nhận và ký duyệt biên bản)
3. Truy cập màn hình Menu -&gt; Quản lý biên bản hóa đơn -&gt; Quản lý biên bản/ hóa đơn
4. Tìm kiếm hóa đơn theo thông tin kỳ cước và mã hợp đồng
5. Kiểm tra Data grid trả về và Click [Xem chi tiết]</t>
  </si>
  <si>
    <t>4. Hệ thống sau khi trình ký và đc duyệt bởi phòng tài chính sẽ tự động tạo hóa đơn theo mẫu đã đc cấu hình
5. Nội dung hóa đơn trùng khớp với thông tin biên bản và thông tin format được cấu hình tại màn Quản lý đối soát -&gt; Quản lý tài chính -&gt; Quản lý hóa đơn</t>
  </si>
  <si>
    <t>1. Thực hiện thay đổi format hóa đơn được cấu hình tại màn Quản lý đối soát -&gt; Quản lý tài chính -&gt; Quản lý hóa đơn
(VD: Thay đổi thuế suất)
2. Truy cập màn hình Menu -&gt; Quản lý biên bản hóa đơn -&gt; Quản lý biên bản/ hóa đơn -&gt; Tìm kiếm hóa đơn vừa được thay đổi
3. Kiểm tra thông tin trên UI và popup [Xem chi tiết]
4. Kiểm tra DB bảng IC_INVOICE và IC_INVOICE_DETAIL theo câu query
select * from IC_INVOICE wherer IC_REPORT_ID = '...ic_report_id của biên bản tương ứng...'
select * from IC_INVOICE_DETAIL where INVOICE_ID = '...ID của invoice tương ứng bên trên...'</t>
  </si>
  <si>
    <t>3. Trên UI ko có gì thay đổi, popup [Xem chi tiết] được cập nhật lại thuế suất, tổng tiển trước thuế và tiền thuế
4. Tại DB trả về dữ liệu 
bảng IC_INVOICE ko có gì thay đổi
bảng IC_INVOICE_DETAIL cập nhật trường TAX_PERCENTAGE, TOTAL_TAX_AMOUNT, SUM_AMOUNT_WITHOUT_TAX</t>
  </si>
  <si>
    <t>FMRA-7414</t>
  </si>
  <si>
    <t>FMRA-7415</t>
  </si>
  <si>
    <t>F</t>
  </si>
  <si>
    <t>FMRA - 7416</t>
  </si>
  <si>
    <t>Lần 2</t>
  </si>
  <si>
    <t>Lần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</si>
</sst>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
      <b/>
      <sz val="11"/>
      <color theme="1"/>
      <name val="Times New Roman"/>
      <family val="1"/>
    </font>
    <font>
      <b/>
      <sz val="10"/>
      <color theme="1"/>
      <name val="Times New Roman"/>
      <family val="1"/>
    </font>
    <font>
      <b/>
      <sz val="20"/>
      <color theme="1"/>
      <name val="Times New Roman"/>
      <family val="1"/>
    </font>
    <font>
      <sz val="10"/>
      <name val="Arial"/>
      <family val="2"/>
    </font>
    <font>
      <sz val="11"/>
      <name val="Times New Roman"/>
      <family val="1"/>
    </font>
    <font>
      <sz val="11"/>
      <color theme="1"/>
      <name val="Calibri"/>
      <family val="2"/>
      <scheme val="minor"/>
    </font>
    <font>
      <sz val="12"/>
      <color rgb="FFFF0000"/>
      <name val="Times New Roman"/>
      <family val="1"/>
    </font>
  </fonts>
  <fills count="9">
    <fill>
      <patternFill patternType="none"/>
    </fill>
    <fill>
      <patternFill patternType="gray125"/>
    </fill>
    <fill>
      <patternFill patternType="solid">
        <fgColor rgb="FF00CCFF"/>
        <bgColor indexed="64"/>
      </patternFill>
    </fill>
    <fill>
      <patternFill patternType="solid">
        <fgColor rgb="FFCCFFCC"/>
        <bgColor indexed="64"/>
      </patternFill>
    </fill>
    <fill>
      <patternFill patternType="solid">
        <fgColor theme="0"/>
        <bgColor indexed="64"/>
      </patternFill>
    </fill>
    <fill>
      <patternFill patternType="solid">
        <fgColor indexed="42"/>
        <bgColor indexed="64"/>
      </patternFill>
    </fill>
    <fill>
      <patternFill patternType="solid">
        <fgColor rgb="FFF4B084"/>
        <bgColor indexed="64"/>
      </patternFill>
    </fill>
    <fill>
      <patternFill patternType="solid">
        <fgColor rgb="FF92D050"/>
        <bgColor indexed="64"/>
      </patternFill>
    </fill>
    <fill>
      <patternFill patternType="solid">
        <fgColor rgb="FF00B0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s>
  <cellStyleXfs count="3">
    <xf numFmtId="0" fontId="0" fillId="0" borderId="0"/>
    <xf numFmtId="0" fontId="7" fillId="0" borderId="0"/>
    <xf numFmtId="9" fontId="9" fillId="0" borderId="0" applyFont="0" applyFill="0" applyBorder="0" applyAlignment="0" applyProtection="0"/>
  </cellStyleXfs>
  <cellXfs count="72">
    <xf numFmtId="0" fontId="0" fillId="0" borderId="0" xfId="0"/>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2" fillId="4" borderId="0" xfId="0" applyFont="1" applyFill="1" applyAlignment="1">
      <alignment horizontal="center" vertical="center" wrapText="1"/>
    </xf>
    <xf numFmtId="0" fontId="2" fillId="4" borderId="1" xfId="0" applyFont="1" applyFill="1" applyBorder="1" applyAlignment="1">
      <alignment horizontal="left" vertical="center" wrapText="1"/>
    </xf>
    <xf numFmtId="0" fontId="8" fillId="5" borderId="1" xfId="1" applyFont="1" applyFill="1" applyBorder="1" applyAlignment="1">
      <alignment horizontal="center" vertical="center" wrapText="1"/>
    </xf>
    <xf numFmtId="9" fontId="1" fillId="3" borderId="1" xfId="2" applyFont="1" applyFill="1" applyBorder="1" applyAlignment="1">
      <alignment horizontal="center" vertical="center" wrapText="1"/>
    </xf>
    <xf numFmtId="9" fontId="2" fillId="3" borderId="1" xfId="2" applyFont="1" applyFill="1" applyBorder="1" applyAlignment="1">
      <alignment horizontal="center" vertical="center" wrapText="1"/>
    </xf>
    <xf numFmtId="0" fontId="2" fillId="0" borderId="0" xfId="0" applyFont="1" applyAlignment="1">
      <alignment horizontal="center" vertical="center" wrapText="1"/>
    </xf>
    <xf numFmtId="0" fontId="2" fillId="6" borderId="5" xfId="0" applyFont="1" applyFill="1" applyBorder="1" applyAlignment="1">
      <alignment horizontal="left" vertical="center" wrapText="1"/>
    </xf>
    <xf numFmtId="0" fontId="2" fillId="6" borderId="6" xfId="0" applyFont="1" applyFill="1" applyBorder="1" applyAlignment="1">
      <alignment horizontal="left" vertical="center" wrapText="1"/>
    </xf>
    <xf numFmtId="0" fontId="2" fillId="6" borderId="7"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3" xfId="0" applyFont="1" applyFill="1" applyBorder="1" applyAlignment="1">
      <alignment horizontal="center" vertical="center" wrapText="1"/>
    </xf>
    <xf numFmtId="0" fontId="8" fillId="0" borderId="1" xfId="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0" xfId="0" applyFont="1" applyBorder="1" applyAlignment="1">
      <alignment horizontal="center" vertical="center" wrapText="1"/>
    </xf>
    <xf numFmtId="0" fontId="2" fillId="0" borderId="5" xfId="0" applyFont="1" applyFill="1" applyBorder="1" applyAlignment="1">
      <alignment horizontal="left" vertical="center" wrapText="1"/>
    </xf>
    <xf numFmtId="0" fontId="2" fillId="0" borderId="14" xfId="0" applyFont="1" applyBorder="1" applyAlignment="1">
      <alignment vertical="center" wrapText="1"/>
    </xf>
    <xf numFmtId="0" fontId="2" fillId="0" borderId="10" xfId="0" applyFont="1" applyBorder="1" applyAlignment="1">
      <alignment vertical="center" wrapText="1"/>
    </xf>
    <xf numFmtId="0" fontId="2" fillId="0" borderId="1" xfId="0" applyFont="1" applyFill="1" applyBorder="1" applyAlignment="1">
      <alignment vertical="center" wrapText="1"/>
    </xf>
    <xf numFmtId="0" fontId="2" fillId="0" borderId="1" xfId="0" quotePrefix="1" applyFont="1" applyBorder="1" applyAlignment="1">
      <alignment horizontal="left" vertical="center" wrapText="1"/>
    </xf>
    <xf numFmtId="0" fontId="2" fillId="0" borderId="1" xfId="0" quotePrefix="1" applyFont="1" applyFill="1" applyBorder="1" applyAlignment="1">
      <alignment horizontal="left" vertical="center" wrapText="1"/>
    </xf>
    <xf numFmtId="0" fontId="2" fillId="3" borderId="1" xfId="0" applyFont="1" applyFill="1" applyBorder="1" applyAlignment="1">
      <alignment horizontal="left" vertical="center" wrapText="1"/>
    </xf>
    <xf numFmtId="0" fontId="6" fillId="0" borderId="0" xfId="0" applyFont="1" applyAlignment="1">
      <alignment horizontal="center" vertical="center" wrapText="1"/>
    </xf>
    <xf numFmtId="0" fontId="4" fillId="3" borderId="1" xfId="0" applyFont="1" applyFill="1" applyBorder="1" applyAlignment="1">
      <alignment horizontal="center" vertical="center" wrapText="1"/>
    </xf>
    <xf numFmtId="0" fontId="8" fillId="0" borderId="9" xfId="1" applyFont="1" applyFill="1" applyBorder="1" applyAlignment="1">
      <alignment horizontal="center" vertical="center" wrapText="1"/>
    </xf>
    <xf numFmtId="0" fontId="8" fillId="0" borderId="10" xfId="1" applyFont="1" applyFill="1" applyBorder="1" applyAlignment="1">
      <alignment horizontal="center" vertical="center" wrapText="1"/>
    </xf>
    <xf numFmtId="0" fontId="2" fillId="6" borderId="5" xfId="0" applyFont="1" applyFill="1" applyBorder="1" applyAlignment="1">
      <alignment horizontal="left" vertical="center" wrapText="1"/>
    </xf>
    <xf numFmtId="0" fontId="2" fillId="6" borderId="6" xfId="0" applyFont="1" applyFill="1" applyBorder="1" applyAlignment="1">
      <alignment horizontal="left" vertical="center" wrapText="1"/>
    </xf>
    <xf numFmtId="0" fontId="2" fillId="6" borderId="7" xfId="0" applyFont="1" applyFill="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8" borderId="5" xfId="0" applyFont="1" applyFill="1" applyBorder="1" applyAlignment="1">
      <alignment horizontal="left" vertical="center" wrapText="1"/>
    </xf>
    <xf numFmtId="0" fontId="2" fillId="8" borderId="6" xfId="0" applyFont="1" applyFill="1" applyBorder="1" applyAlignment="1">
      <alignment horizontal="left" vertical="center" wrapText="1"/>
    </xf>
    <xf numFmtId="0" fontId="2" fillId="8" borderId="7" xfId="0" applyFont="1" applyFill="1" applyBorder="1" applyAlignment="1">
      <alignment horizontal="left" vertical="center" wrapText="1"/>
    </xf>
    <xf numFmtId="0" fontId="2" fillId="0" borderId="8" xfId="0" applyFont="1" applyBorder="1" applyAlignment="1">
      <alignment horizontal="left" vertical="center" wrapText="1"/>
    </xf>
    <xf numFmtId="0" fontId="8" fillId="0" borderId="3" xfId="1" applyFont="1" applyFill="1" applyBorder="1" applyAlignment="1">
      <alignment horizontal="center" vertical="center" wrapText="1"/>
    </xf>
    <xf numFmtId="0" fontId="8" fillId="0" borderId="4" xfId="1" applyFont="1" applyFill="1" applyBorder="1" applyAlignment="1">
      <alignment horizontal="center" vertical="center" wrapText="1"/>
    </xf>
    <xf numFmtId="0" fontId="6" fillId="4"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4"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2" fillId="7" borderId="5" xfId="0" applyFont="1" applyFill="1" applyBorder="1" applyAlignment="1">
      <alignment horizontal="left" vertical="center"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12" xfId="0" applyFont="1" applyFill="1" applyBorder="1" applyAlignment="1">
      <alignment horizontal="left" vertical="center" wrapText="1"/>
    </xf>
    <xf numFmtId="0" fontId="2" fillId="7" borderId="13" xfId="0" applyFont="1" applyFill="1" applyBorder="1" applyAlignment="1">
      <alignment horizontal="left" vertical="center" wrapText="1"/>
    </xf>
    <xf numFmtId="0" fontId="2" fillId="7" borderId="9" xfId="0" applyFont="1" applyFill="1" applyBorder="1" applyAlignment="1">
      <alignment horizontal="left" vertical="center" wrapText="1"/>
    </xf>
    <xf numFmtId="0" fontId="2" fillId="7" borderId="11" xfId="0" applyFont="1" applyFill="1" applyBorder="1" applyAlignment="1">
      <alignment horizontal="left" vertical="center" wrapText="1"/>
    </xf>
    <xf numFmtId="0" fontId="2" fillId="7" borderId="2" xfId="0" applyFont="1" applyFill="1" applyBorder="1" applyAlignment="1">
      <alignment horizontal="left" vertical="center" wrapText="1"/>
    </xf>
    <xf numFmtId="0" fontId="2" fillId="7" borderId="10" xfId="0" applyFont="1" applyFill="1" applyBorder="1" applyAlignment="1">
      <alignment horizontal="left"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0" borderId="14" xfId="0" applyFont="1" applyBorder="1" applyAlignment="1">
      <alignment horizontal="center" vertical="center" wrapText="1"/>
    </xf>
    <xf numFmtId="0" fontId="2" fillId="0" borderId="12"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cellXfs>
  <cellStyles count="3">
    <cellStyle name="Normal" xfId="0" builtinId="0"/>
    <cellStyle name="Normal 4 2" xfId="1" xr:uid="{00000000-0005-0000-0000-000001000000}"/>
    <cellStyle name="Percent" xfId="2" builtinId="5"/>
  </cellStyles>
  <dxfs count="156">
    <dxf>
      <font>
        <color rgb="FF0070C0"/>
      </font>
      <fill>
        <patternFill patternType="solid">
          <fgColor auto="1"/>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auto="1"/>
      </font>
      <fill>
        <patternFill patternType="solid">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0070C0"/>
      </font>
      <fill>
        <patternFill patternType="solid">
          <fgColor auto="1"/>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auto="1"/>
      </font>
      <fill>
        <patternFill patternType="solid">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rgb="FFFF0000"/>
      </font>
      <fill>
        <patternFill patternType="solid">
          <fgColor indexed="64"/>
          <bgColor rgb="FFCCFFCC"/>
        </patternFill>
      </fill>
    </dxf>
    <dxf>
      <font>
        <color rgb="FF0070C0"/>
      </font>
      <fill>
        <patternFill patternType="solid">
          <fgColor auto="1"/>
          <bgColor rgb="FFCCFFCC"/>
        </patternFill>
      </fill>
    </dxf>
    <dxf>
      <font>
        <color auto="1"/>
      </font>
      <fill>
        <patternFill patternType="solid">
          <bgColor rgb="FFCCFFCC"/>
        </patternFill>
      </fill>
    </dxf>
    <dxf>
      <font>
        <color auto="1"/>
      </font>
      <fill>
        <patternFill patternType="none">
          <bgColor auto="1"/>
        </patternFill>
      </fill>
    </dxf>
    <dxf>
      <font>
        <color rgb="FFFF0000"/>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70C0"/>
      </font>
      <fill>
        <patternFill patternType="none">
          <bgColor auto="1"/>
        </patternFill>
      </fill>
    </dxf>
    <dxf>
      <font>
        <color auto="1"/>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rgb="FF0070C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70C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FF0000"/>
      </font>
      <fill>
        <patternFill patternType="none">
          <bgColor auto="1"/>
        </patternFill>
      </fill>
    </dxf>
    <dxf>
      <font>
        <color rgb="FF0070C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
      <font>
        <color rgb="FF0070C0"/>
      </font>
      <fill>
        <patternFill patternType="none">
          <bgColor auto="1"/>
        </patternFill>
      </fill>
    </dxf>
    <dxf>
      <font>
        <color rgb="FFFF0000"/>
      </font>
      <fill>
        <patternFill patternType="none">
          <bgColor auto="1"/>
        </patternFill>
      </fill>
    </dxf>
    <dxf>
      <font>
        <color auto="1"/>
      </font>
      <fill>
        <patternFill patternType="none">
          <bgColor auto="1"/>
        </patternFill>
      </fill>
    </dxf>
  </dxfs>
  <tableStyles count="0" defaultTableStyle="TableStyleMedium2" defaultPivotStyle="PivotStyleLight16"/>
  <colors>
    <mruColors>
      <color rgb="FF92D050"/>
      <color rgb="FFF4B084"/>
      <color rgb="FFCCFFCC"/>
      <color rgb="FF00FFFF"/>
      <color rgb="FF00CCFF"/>
      <color rgb="FF00FFCC"/>
      <color rgb="FF99FF66"/>
      <color rgb="FF66FF66"/>
      <color rgb="FF99FF99"/>
      <color rgb="FF90A3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workbookViewId="0">
      <selection activeCell="E11" sqref="E11"/>
    </sheetView>
  </sheetViews>
  <sheetFormatPr defaultRowHeight="15" x14ac:dyDescent="0.25"/>
  <cols>
    <col min="1" max="1" width="7.28515625" style="1" customWidth="1"/>
    <col min="2" max="2" width="48.42578125" style="1" customWidth="1"/>
    <col min="3" max="7" width="20.28515625" style="1" customWidth="1"/>
    <col min="8" max="10" width="21.7109375" style="1" customWidth="1"/>
    <col min="11" max="16384" width="9.140625" style="1"/>
  </cols>
  <sheetData>
    <row r="1" spans="1:10" x14ac:dyDescent="0.25">
      <c r="A1" s="29" t="s">
        <v>0</v>
      </c>
      <c r="B1" s="29"/>
      <c r="C1" s="29"/>
      <c r="D1" s="29"/>
      <c r="E1" s="29"/>
      <c r="F1" s="29"/>
      <c r="G1" s="29"/>
      <c r="H1" s="29"/>
      <c r="I1" s="29"/>
      <c r="J1" s="29"/>
    </row>
    <row r="2" spans="1:10" x14ac:dyDescent="0.25">
      <c r="A2" s="29"/>
      <c r="B2" s="29"/>
      <c r="C2" s="29"/>
      <c r="D2" s="29"/>
      <c r="E2" s="29"/>
      <c r="F2" s="29"/>
      <c r="G2" s="29"/>
      <c r="H2" s="29"/>
      <c r="I2" s="29"/>
      <c r="J2" s="29"/>
    </row>
    <row r="3" spans="1:10" ht="38.25" x14ac:dyDescent="0.25">
      <c r="A3" s="5" t="s">
        <v>1</v>
      </c>
      <c r="B3" s="5" t="s">
        <v>2</v>
      </c>
      <c r="C3" s="5" t="s">
        <v>3</v>
      </c>
      <c r="D3" s="5" t="s">
        <v>4</v>
      </c>
      <c r="E3" s="5" t="s">
        <v>5</v>
      </c>
      <c r="F3" s="5" t="s">
        <v>6</v>
      </c>
      <c r="G3" s="5" t="s">
        <v>7</v>
      </c>
      <c r="H3" s="5" t="s">
        <v>8</v>
      </c>
      <c r="I3" s="5" t="s">
        <v>9</v>
      </c>
      <c r="J3" s="5" t="s">
        <v>10</v>
      </c>
    </row>
    <row r="4" spans="1:10" ht="15.75" x14ac:dyDescent="0.25">
      <c r="A4" s="3">
        <v>1</v>
      </c>
      <c r="B4" s="28" t="str">
        <f>UPDATE_DB_11G_TO_19C!D2</f>
        <v>Nâng cấp DB HTDS_VAS 11g -&gt; 19c</v>
      </c>
      <c r="C4" s="3">
        <f>UPDATE_DB_11G_TO_19C!D4</f>
        <v>91</v>
      </c>
      <c r="D4" s="3">
        <f>UPDATE_DB_11G_TO_19C!D5</f>
        <v>0</v>
      </c>
      <c r="E4" s="3">
        <f>UPDATE_DB_11G_TO_19C!D6</f>
        <v>0</v>
      </c>
      <c r="F4" s="3">
        <f>UPDATE_DB_11G_TO_19C!D7</f>
        <v>0</v>
      </c>
      <c r="G4" s="3">
        <f>UPDATE_DB_11G_TO_19C!D8</f>
        <v>91</v>
      </c>
      <c r="H4" s="11">
        <f>C4/G4</f>
        <v>1</v>
      </c>
      <c r="I4" s="11">
        <f>D4/G4</f>
        <v>0</v>
      </c>
      <c r="J4" s="11">
        <f>(C4+D4)/G4</f>
        <v>1</v>
      </c>
    </row>
    <row r="5" spans="1:10" x14ac:dyDescent="0.25">
      <c r="A5" s="30" t="s">
        <v>11</v>
      </c>
      <c r="B5" s="30"/>
      <c r="C5" s="4">
        <f>SUM(C4:C4)</f>
        <v>91</v>
      </c>
      <c r="D5" s="4">
        <f t="shared" ref="D5:G5" si="0">SUM(D4:D4)</f>
        <v>0</v>
      </c>
      <c r="E5" s="4">
        <f t="shared" si="0"/>
        <v>0</v>
      </c>
      <c r="F5" s="4">
        <f t="shared" si="0"/>
        <v>0</v>
      </c>
      <c r="G5" s="4">
        <f t="shared" si="0"/>
        <v>91</v>
      </c>
      <c r="H5" s="10">
        <f>C4/C5</f>
        <v>1</v>
      </c>
      <c r="I5" s="10">
        <f>D5/G5</f>
        <v>0</v>
      </c>
      <c r="J5" s="10">
        <f>(C5+D5)/G5</f>
        <v>1</v>
      </c>
    </row>
  </sheetData>
  <mergeCells count="2">
    <mergeCell ref="A1:J2"/>
    <mergeCell ref="A5:B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1"/>
  <sheetViews>
    <sheetView tabSelected="1" zoomScale="70" zoomScaleNormal="70" workbookViewId="0">
      <selection activeCell="D14" sqref="D14"/>
    </sheetView>
  </sheetViews>
  <sheetFormatPr defaultRowHeight="15.75" x14ac:dyDescent="0.25"/>
  <cols>
    <col min="1" max="1" width="15.5703125" style="12" customWidth="1"/>
    <col min="2" max="2" width="31.7109375" style="12" customWidth="1"/>
    <col min="3" max="3" width="69.140625" style="12" customWidth="1"/>
    <col min="4" max="4" width="63" style="12" customWidth="1"/>
    <col min="5" max="9" width="10.7109375" style="12" customWidth="1"/>
    <col min="10" max="10" width="27.28515625" style="12" customWidth="1"/>
    <col min="11" max="16384" width="9.140625" style="12"/>
  </cols>
  <sheetData>
    <row r="1" spans="1:10" ht="25.5" x14ac:dyDescent="0.25">
      <c r="A1" s="6"/>
      <c r="B1" s="6"/>
      <c r="C1" s="44" t="s">
        <v>12</v>
      </c>
      <c r="D1" s="44"/>
      <c r="E1" s="6"/>
      <c r="F1" s="6"/>
      <c r="G1" s="6"/>
      <c r="H1" s="6"/>
      <c r="I1" s="6"/>
      <c r="J1" s="6"/>
    </row>
    <row r="2" spans="1:10" x14ac:dyDescent="0.25">
      <c r="A2" s="7"/>
      <c r="B2" s="7"/>
      <c r="C2" s="8" t="s">
        <v>13</v>
      </c>
      <c r="D2" s="8" t="s">
        <v>26</v>
      </c>
      <c r="E2" s="7"/>
      <c r="F2" s="7"/>
      <c r="G2" s="7"/>
      <c r="H2" s="7"/>
      <c r="I2" s="7"/>
      <c r="J2" s="7"/>
    </row>
    <row r="3" spans="1:10" x14ac:dyDescent="0.25">
      <c r="A3" s="7"/>
      <c r="B3" s="7"/>
      <c r="C3" s="8" t="s">
        <v>14</v>
      </c>
      <c r="D3" s="8" t="s">
        <v>27</v>
      </c>
      <c r="E3" s="7"/>
      <c r="F3" s="7"/>
      <c r="G3" s="7"/>
      <c r="H3" s="7"/>
      <c r="I3" s="7"/>
      <c r="J3" s="7"/>
    </row>
    <row r="4" spans="1:10" x14ac:dyDescent="0.25">
      <c r="A4" s="7"/>
      <c r="B4" s="7"/>
      <c r="C4" s="8" t="s">
        <v>3</v>
      </c>
      <c r="D4" s="3">
        <f>COUNTIF($H$14:$H$3339,"P")</f>
        <v>91</v>
      </c>
      <c r="E4" s="7"/>
      <c r="F4" s="7"/>
      <c r="G4" s="7"/>
      <c r="H4" s="7"/>
      <c r="I4" s="7"/>
      <c r="J4" s="7"/>
    </row>
    <row r="5" spans="1:10" x14ac:dyDescent="0.25">
      <c r="A5" s="7"/>
      <c r="B5" s="7"/>
      <c r="C5" s="8" t="s">
        <v>4</v>
      </c>
      <c r="D5" s="3">
        <f>COUNTIF($H$14:$H$3339,"F")</f>
        <v>0</v>
      </c>
      <c r="E5" s="7"/>
      <c r="F5" s="7"/>
      <c r="G5" s="7"/>
      <c r="H5" s="7"/>
      <c r="I5" s="7"/>
      <c r="J5" s="7"/>
    </row>
    <row r="6" spans="1:10" x14ac:dyDescent="0.25">
      <c r="A6" s="7"/>
      <c r="B6" s="7"/>
      <c r="C6" s="8" t="s">
        <v>15</v>
      </c>
      <c r="D6" s="3">
        <f>COUNTIF($H$14:$H$3339,"PE")</f>
        <v>0</v>
      </c>
      <c r="E6" s="7"/>
      <c r="F6" s="7"/>
      <c r="G6" s="7"/>
      <c r="H6" s="7"/>
      <c r="I6" s="7"/>
      <c r="J6" s="7"/>
    </row>
    <row r="7" spans="1:10" x14ac:dyDescent="0.25">
      <c r="A7" s="7"/>
      <c r="B7" s="7"/>
      <c r="C7" s="8" t="s">
        <v>16</v>
      </c>
      <c r="D7" s="3">
        <f>D8-D4-D5-D6</f>
        <v>0</v>
      </c>
      <c r="E7" s="7"/>
      <c r="F7" s="7"/>
      <c r="G7" s="7"/>
      <c r="H7" s="7"/>
      <c r="I7" s="7"/>
      <c r="J7" s="7"/>
    </row>
    <row r="8" spans="1:10" x14ac:dyDescent="0.25">
      <c r="A8" s="7"/>
      <c r="B8" s="7"/>
      <c r="C8" s="8" t="s">
        <v>7</v>
      </c>
      <c r="D8" s="3">
        <f>COUNTA($D$14:$D$3339)</f>
        <v>91</v>
      </c>
      <c r="E8" s="7"/>
      <c r="F8" s="7"/>
      <c r="G8" s="7"/>
      <c r="H8" s="7"/>
      <c r="I8" s="7"/>
      <c r="J8" s="7"/>
    </row>
    <row r="9" spans="1:10" x14ac:dyDescent="0.25">
      <c r="A9" s="7"/>
      <c r="B9" s="7"/>
      <c r="C9" s="7"/>
      <c r="D9" s="7"/>
      <c r="E9" s="7"/>
      <c r="F9" s="7"/>
      <c r="G9" s="7"/>
      <c r="H9" s="7"/>
      <c r="I9" s="7"/>
      <c r="J9" s="7"/>
    </row>
    <row r="10" spans="1:10" x14ac:dyDescent="0.25">
      <c r="A10" s="45" t="s">
        <v>14</v>
      </c>
      <c r="B10" s="45" t="s">
        <v>17</v>
      </c>
      <c r="C10" s="45" t="s">
        <v>18</v>
      </c>
      <c r="D10" s="45" t="s">
        <v>19</v>
      </c>
      <c r="E10" s="63" t="s">
        <v>20</v>
      </c>
      <c r="F10" s="64"/>
      <c r="G10" s="65"/>
      <c r="H10" s="45" t="s">
        <v>21</v>
      </c>
      <c r="I10" s="45" t="s">
        <v>22</v>
      </c>
      <c r="J10" s="45" t="s">
        <v>23</v>
      </c>
    </row>
    <row r="11" spans="1:10" x14ac:dyDescent="0.25">
      <c r="A11" s="46"/>
      <c r="B11" s="46"/>
      <c r="C11" s="46"/>
      <c r="D11" s="46"/>
      <c r="E11" s="2" t="s">
        <v>24</v>
      </c>
      <c r="F11" s="2" t="s">
        <v>253</v>
      </c>
      <c r="G11" s="2" t="s">
        <v>254</v>
      </c>
      <c r="H11" s="46"/>
      <c r="I11" s="46"/>
      <c r="J11" s="46"/>
    </row>
    <row r="12" spans="1:10" ht="9.75" customHeight="1" x14ac:dyDescent="0.25">
      <c r="A12" s="50"/>
      <c r="B12" s="55" t="s">
        <v>111</v>
      </c>
      <c r="C12" s="56"/>
      <c r="D12" s="56"/>
      <c r="E12" s="56"/>
      <c r="F12" s="56"/>
      <c r="G12" s="56"/>
      <c r="H12" s="56"/>
      <c r="I12" s="56"/>
      <c r="J12" s="57"/>
    </row>
    <row r="13" spans="1:10" ht="9.75" customHeight="1" x14ac:dyDescent="0.25">
      <c r="A13" s="51"/>
      <c r="B13" s="58"/>
      <c r="C13" s="59"/>
      <c r="D13" s="59"/>
      <c r="E13" s="59"/>
      <c r="F13" s="59"/>
      <c r="G13" s="59"/>
      <c r="H13" s="59"/>
      <c r="I13" s="59"/>
      <c r="J13" s="60"/>
    </row>
    <row r="14" spans="1:10" ht="124.5" customHeight="1" x14ac:dyDescent="0.25">
      <c r="A14" s="9" t="str">
        <f>IF(AND(D14="",D14=""),"",$D$3&amp;"_"&amp;ROW()-13-COUNTBLANK($D14:D$14))</f>
        <v>Up_DB_1</v>
      </c>
      <c r="B14" s="16" t="s">
        <v>112</v>
      </c>
      <c r="C14" s="16" t="s">
        <v>113</v>
      </c>
      <c r="D14" s="16" t="s">
        <v>114</v>
      </c>
      <c r="E14" s="17" t="s">
        <v>25</v>
      </c>
      <c r="F14" s="17" t="s">
        <v>25</v>
      </c>
      <c r="G14" s="17" t="s">
        <v>25</v>
      </c>
      <c r="H14" s="3" t="s">
        <v>25</v>
      </c>
      <c r="I14" s="17"/>
      <c r="J14" s="17"/>
    </row>
    <row r="15" spans="1:10" x14ac:dyDescent="0.25">
      <c r="A15" s="18"/>
      <c r="B15" s="52" t="s">
        <v>115</v>
      </c>
      <c r="C15" s="53"/>
      <c r="D15" s="53"/>
      <c r="E15" s="53"/>
      <c r="F15" s="53"/>
      <c r="G15" s="53"/>
      <c r="H15" s="53"/>
      <c r="I15" s="53"/>
      <c r="J15" s="54"/>
    </row>
    <row r="16" spans="1:10" ht="124.5" customHeight="1" x14ac:dyDescent="0.25">
      <c r="A16" s="9" t="str">
        <f>IF(AND(D16="",D16=""),"",$D$3&amp;"_"&amp;ROW()-13-COUNTBLANK($D$14:D16))</f>
        <v>Up_DB_2</v>
      </c>
      <c r="B16" s="16" t="s">
        <v>116</v>
      </c>
      <c r="C16" s="16" t="s">
        <v>113</v>
      </c>
      <c r="D16" s="16" t="s">
        <v>114</v>
      </c>
      <c r="E16" s="17" t="s">
        <v>25</v>
      </c>
      <c r="F16" s="17" t="s">
        <v>25</v>
      </c>
      <c r="G16" s="17" t="s">
        <v>25</v>
      </c>
      <c r="H16" s="3" t="s">
        <v>25</v>
      </c>
      <c r="I16" s="17"/>
      <c r="J16" s="17"/>
    </row>
    <row r="17" spans="1:10" x14ac:dyDescent="0.25">
      <c r="A17" s="47"/>
      <c r="B17" s="52" t="s">
        <v>110</v>
      </c>
      <c r="C17" s="53"/>
      <c r="D17" s="53"/>
      <c r="E17" s="53"/>
      <c r="F17" s="53"/>
      <c r="G17" s="53"/>
      <c r="H17" s="53"/>
      <c r="I17" s="53"/>
      <c r="J17" s="54"/>
    </row>
    <row r="18" spans="1:10" ht="31.5" customHeight="1" x14ac:dyDescent="0.25">
      <c r="A18" s="48"/>
      <c r="B18" s="38" t="s">
        <v>30</v>
      </c>
      <c r="C18" s="39"/>
      <c r="D18" s="39"/>
      <c r="E18" s="39"/>
      <c r="F18" s="39"/>
      <c r="G18" s="39"/>
      <c r="H18" s="39"/>
      <c r="I18" s="39"/>
      <c r="J18" s="40"/>
    </row>
    <row r="19" spans="1:10" x14ac:dyDescent="0.25">
      <c r="A19" s="49"/>
      <c r="B19" s="33" t="s">
        <v>28</v>
      </c>
      <c r="C19" s="34"/>
      <c r="D19" s="34"/>
      <c r="E19" s="34"/>
      <c r="F19" s="34"/>
      <c r="G19" s="34"/>
      <c r="H19" s="34"/>
      <c r="I19" s="34"/>
      <c r="J19" s="35"/>
    </row>
    <row r="20" spans="1:10" ht="124.5" customHeight="1" x14ac:dyDescent="0.25">
      <c r="A20" s="9" t="str">
        <f>IF(AND(D20="",D20=""),"",$D$3&amp;"_"&amp;ROW()-13-COUNTBLANK($D$14:D20))</f>
        <v>Up_DB_3</v>
      </c>
      <c r="B20" s="16" t="s">
        <v>29</v>
      </c>
      <c r="C20" s="16" t="s">
        <v>50</v>
      </c>
      <c r="D20" s="16" t="s">
        <v>33</v>
      </c>
      <c r="E20" s="17" t="s">
        <v>25</v>
      </c>
      <c r="F20" s="17" t="s">
        <v>25</v>
      </c>
      <c r="G20" s="17" t="s">
        <v>25</v>
      </c>
      <c r="H20" s="3" t="s">
        <v>25</v>
      </c>
      <c r="I20" s="17"/>
      <c r="J20" s="17"/>
    </row>
    <row r="21" spans="1:10" ht="141.75" x14ac:dyDescent="0.25">
      <c r="A21" s="9" t="str">
        <f>IF(AND(D21="",D21=""),"",$D$3&amp;"_"&amp;ROW()-13-COUNTBLANK($D$14:D21))</f>
        <v>Up_DB_4</v>
      </c>
      <c r="B21" s="16" t="s">
        <v>31</v>
      </c>
      <c r="C21" s="16" t="s">
        <v>32</v>
      </c>
      <c r="D21" s="16" t="s">
        <v>34</v>
      </c>
      <c r="E21" s="17" t="s">
        <v>25</v>
      </c>
      <c r="F21" s="17" t="s">
        <v>25</v>
      </c>
      <c r="G21" s="17" t="s">
        <v>25</v>
      </c>
      <c r="H21" s="3" t="s">
        <v>25</v>
      </c>
      <c r="I21" s="17"/>
      <c r="J21" s="17"/>
    </row>
    <row r="22" spans="1:10" x14ac:dyDescent="0.25">
      <c r="B22" s="33" t="s">
        <v>35</v>
      </c>
      <c r="C22" s="34"/>
      <c r="D22" s="34"/>
      <c r="E22" s="34"/>
      <c r="F22" s="34"/>
      <c r="G22" s="34"/>
      <c r="H22" s="34"/>
      <c r="I22" s="34"/>
      <c r="J22" s="35"/>
    </row>
    <row r="23" spans="1:10" ht="126" x14ac:dyDescent="0.25">
      <c r="A23" s="9" t="str">
        <f>IF(AND(D23="",D23=""),"",$D$3&amp;"_"&amp;ROW()-13-COUNTBLANK($D$14:D23))</f>
        <v>Up_DB_5</v>
      </c>
      <c r="B23" s="16" t="s">
        <v>37</v>
      </c>
      <c r="C23" s="16" t="s">
        <v>51</v>
      </c>
      <c r="D23" s="16" t="s">
        <v>36</v>
      </c>
      <c r="E23" s="17" t="s">
        <v>25</v>
      </c>
      <c r="F23" s="17" t="s">
        <v>25</v>
      </c>
      <c r="G23" s="17" t="s">
        <v>25</v>
      </c>
      <c r="H23" s="3" t="s">
        <v>25</v>
      </c>
      <c r="I23" s="17"/>
      <c r="J23" s="17"/>
    </row>
    <row r="24" spans="1:10" ht="63" x14ac:dyDescent="0.25">
      <c r="A24" s="9" t="str">
        <f>IF(AND(D24="",D24=""),"",$D$3&amp;"_"&amp;ROW()-13-COUNTBLANK($D$14:D24))</f>
        <v>Up_DB_6</v>
      </c>
      <c r="B24" s="16" t="s">
        <v>38</v>
      </c>
      <c r="C24" s="16" t="s">
        <v>39</v>
      </c>
      <c r="D24" s="16" t="s">
        <v>40</v>
      </c>
      <c r="E24" s="17" t="s">
        <v>25</v>
      </c>
      <c r="F24" s="17" t="s">
        <v>25</v>
      </c>
      <c r="G24" s="17" t="s">
        <v>25</v>
      </c>
      <c r="H24" s="3" t="s">
        <v>25</v>
      </c>
      <c r="I24" s="17"/>
      <c r="J24" s="17"/>
    </row>
    <row r="25" spans="1:10" x14ac:dyDescent="0.25">
      <c r="B25" s="33" t="s">
        <v>44</v>
      </c>
      <c r="C25" s="34"/>
      <c r="D25" s="34"/>
      <c r="E25" s="34"/>
      <c r="F25" s="34"/>
      <c r="G25" s="34"/>
      <c r="H25" s="34"/>
      <c r="I25" s="34"/>
      <c r="J25" s="35"/>
    </row>
    <row r="26" spans="1:10" ht="204.75" x14ac:dyDescent="0.25">
      <c r="A26" s="9" t="str">
        <f>IF(AND(D26="",D26=""),"",$D$3&amp;"_"&amp;ROW()-13-COUNTBLANK($D$14:D26))</f>
        <v>Up_DB_7</v>
      </c>
      <c r="B26" s="16" t="s">
        <v>41</v>
      </c>
      <c r="C26" s="16" t="s">
        <v>77</v>
      </c>
      <c r="D26" s="16" t="s">
        <v>80</v>
      </c>
      <c r="E26" s="17" t="s">
        <v>25</v>
      </c>
      <c r="F26" s="17" t="s">
        <v>25</v>
      </c>
      <c r="G26" s="17" t="s">
        <v>25</v>
      </c>
      <c r="H26" s="3" t="s">
        <v>25</v>
      </c>
      <c r="I26" s="17"/>
      <c r="J26" s="17"/>
    </row>
    <row r="27" spans="1:10" ht="204.75" x14ac:dyDescent="0.25">
      <c r="A27" s="9" t="str">
        <f>IF(AND(D27="",D27=""),"",$D$3&amp;"_"&amp;ROW()-13-COUNTBLANK($D$14:D27))</f>
        <v>Up_DB_8</v>
      </c>
      <c r="B27" s="16" t="s">
        <v>42</v>
      </c>
      <c r="C27" s="16" t="s">
        <v>78</v>
      </c>
      <c r="D27" s="16" t="s">
        <v>81</v>
      </c>
      <c r="E27" s="17" t="s">
        <v>25</v>
      </c>
      <c r="F27" s="17" t="s">
        <v>25</v>
      </c>
      <c r="G27" s="17" t="s">
        <v>25</v>
      </c>
      <c r="H27" s="3" t="s">
        <v>25</v>
      </c>
      <c r="I27" s="17"/>
      <c r="J27" s="17"/>
    </row>
    <row r="28" spans="1:10" ht="189" x14ac:dyDescent="0.25">
      <c r="A28" s="9" t="str">
        <f>IF(AND(D28="",D28=""),"",$D$3&amp;"_"&amp;ROW()-13-COUNTBLANK($D$14:D28))</f>
        <v>Up_DB_9</v>
      </c>
      <c r="B28" s="16" t="s">
        <v>43</v>
      </c>
      <c r="C28" s="16" t="s">
        <v>79</v>
      </c>
      <c r="D28" s="16" t="s">
        <v>82</v>
      </c>
      <c r="E28" s="17" t="s">
        <v>25</v>
      </c>
      <c r="F28" s="17" t="s">
        <v>25</v>
      </c>
      <c r="G28" s="17" t="s">
        <v>25</v>
      </c>
      <c r="H28" s="3" t="s">
        <v>25</v>
      </c>
      <c r="I28" s="17"/>
      <c r="J28" s="17"/>
    </row>
    <row r="29" spans="1:10" x14ac:dyDescent="0.25">
      <c r="B29" s="33" t="s">
        <v>45</v>
      </c>
      <c r="C29" s="34"/>
      <c r="D29" s="34"/>
      <c r="E29" s="34"/>
      <c r="F29" s="34"/>
      <c r="G29" s="34"/>
      <c r="H29" s="34"/>
      <c r="I29" s="34"/>
      <c r="J29" s="35"/>
    </row>
    <row r="30" spans="1:10" ht="189" x14ac:dyDescent="0.25">
      <c r="A30" s="9" t="str">
        <f>IF(AND(D30="",D30=""),"",$D$3&amp;"_"&amp;ROW()-13-COUNTBLANK($D$14:D30))</f>
        <v>Up_DB_10</v>
      </c>
      <c r="B30" s="16" t="s">
        <v>46</v>
      </c>
      <c r="C30" s="16" t="s">
        <v>52</v>
      </c>
      <c r="D30" s="16" t="s">
        <v>55</v>
      </c>
      <c r="E30" s="17" t="s">
        <v>25</v>
      </c>
      <c r="F30" s="17" t="s">
        <v>25</v>
      </c>
      <c r="G30" s="17" t="s">
        <v>25</v>
      </c>
      <c r="H30" s="3" t="s">
        <v>25</v>
      </c>
      <c r="I30" s="17"/>
      <c r="J30" s="17"/>
    </row>
    <row r="31" spans="1:10" ht="126.75" customHeight="1" x14ac:dyDescent="0.25">
      <c r="A31" s="9" t="str">
        <f>IF(AND(D31="",D31=""),"",$D$3&amp;"_"&amp;ROW()-13-COUNTBLANK($D$14:D31))</f>
        <v>Up_DB_11</v>
      </c>
      <c r="B31" s="16" t="s">
        <v>47</v>
      </c>
      <c r="C31" s="16" t="s">
        <v>53</v>
      </c>
      <c r="D31" s="16" t="s">
        <v>56</v>
      </c>
      <c r="E31" s="17" t="s">
        <v>25</v>
      </c>
      <c r="F31" s="17" t="s">
        <v>25</v>
      </c>
      <c r="G31" s="17" t="s">
        <v>25</v>
      </c>
      <c r="H31" s="3" t="s">
        <v>25</v>
      </c>
      <c r="I31" s="17"/>
      <c r="J31" s="17"/>
    </row>
    <row r="32" spans="1:10" ht="126" x14ac:dyDescent="0.25">
      <c r="A32" s="9" t="str">
        <f>IF(AND(D32="",D32=""),"",$D$3&amp;"_"&amp;ROW()-13-COUNTBLANK($D$14:D32))</f>
        <v>Up_DB_12</v>
      </c>
      <c r="B32" s="16" t="s">
        <v>48</v>
      </c>
      <c r="C32" s="16" t="s">
        <v>57</v>
      </c>
      <c r="D32" s="16" t="s">
        <v>58</v>
      </c>
      <c r="E32" s="17" t="s">
        <v>25</v>
      </c>
      <c r="F32" s="17" t="s">
        <v>25</v>
      </c>
      <c r="G32" s="17" t="s">
        <v>25</v>
      </c>
      <c r="H32" s="3" t="s">
        <v>25</v>
      </c>
      <c r="I32" s="17"/>
      <c r="J32" s="17"/>
    </row>
    <row r="33" spans="1:10" ht="110.25" x14ac:dyDescent="0.25">
      <c r="A33" s="9" t="str">
        <f>IF(AND(D33="",D33=""),"",$D$3&amp;"_"&amp;ROW()-13-COUNTBLANK($D$14:D33))</f>
        <v>Up_DB_13</v>
      </c>
      <c r="B33" s="16" t="s">
        <v>49</v>
      </c>
      <c r="C33" s="16" t="s">
        <v>54</v>
      </c>
      <c r="D33" s="16" t="s">
        <v>59</v>
      </c>
      <c r="E33" s="17" t="s">
        <v>25</v>
      </c>
      <c r="F33" s="17" t="s">
        <v>25</v>
      </c>
      <c r="G33" s="17" t="s">
        <v>25</v>
      </c>
      <c r="H33" s="3" t="s">
        <v>25</v>
      </c>
      <c r="I33" s="17"/>
      <c r="J33" s="17"/>
    </row>
    <row r="34" spans="1:10" x14ac:dyDescent="0.25">
      <c r="B34" s="33" t="s">
        <v>60</v>
      </c>
      <c r="C34" s="34"/>
      <c r="D34" s="34"/>
      <c r="E34" s="34"/>
      <c r="F34" s="34"/>
      <c r="G34" s="34"/>
      <c r="H34" s="34"/>
      <c r="I34" s="34"/>
      <c r="J34" s="35"/>
    </row>
    <row r="35" spans="1:10" ht="63" x14ac:dyDescent="0.25">
      <c r="A35" s="9" t="str">
        <f>IF(AND(D35="",D35=""),"",$D$3&amp;"_"&amp;ROW()-13-COUNTBLANK($D$14:D35))</f>
        <v>Up_DB_14</v>
      </c>
      <c r="B35" s="16" t="s">
        <v>61</v>
      </c>
      <c r="C35" s="16" t="s">
        <v>62</v>
      </c>
      <c r="D35" s="16" t="s">
        <v>63</v>
      </c>
      <c r="E35" s="17" t="s">
        <v>25</v>
      </c>
      <c r="F35" s="17" t="s">
        <v>25</v>
      </c>
      <c r="G35" s="17" t="s">
        <v>25</v>
      </c>
      <c r="H35" s="3" t="s">
        <v>25</v>
      </c>
      <c r="I35" s="17"/>
      <c r="J35" s="17"/>
    </row>
    <row r="36" spans="1:10" ht="63" x14ac:dyDescent="0.25">
      <c r="A36" s="9" t="str">
        <f>IF(AND(D36="",D36=""),"",$D$3&amp;"_"&amp;ROW()-13-COUNTBLANK($D$14:D36))</f>
        <v>Up_DB_15</v>
      </c>
      <c r="B36" s="16" t="s">
        <v>64</v>
      </c>
      <c r="C36" s="16" t="s">
        <v>65</v>
      </c>
      <c r="D36" s="16" t="s">
        <v>66</v>
      </c>
      <c r="E36" s="17" t="s">
        <v>25</v>
      </c>
      <c r="F36" s="17" t="s">
        <v>25</v>
      </c>
      <c r="G36" s="17" t="s">
        <v>25</v>
      </c>
      <c r="H36" s="3" t="s">
        <v>25</v>
      </c>
      <c r="I36" s="17"/>
      <c r="J36" s="17"/>
    </row>
    <row r="37" spans="1:10" ht="63" x14ac:dyDescent="0.25">
      <c r="A37" s="9" t="str">
        <f>IF(AND(D37="",D37=""),"",$D$3&amp;"_"&amp;ROW()-13-COUNTBLANK($D$14:D37))</f>
        <v>Up_DB_16</v>
      </c>
      <c r="B37" s="16" t="s">
        <v>67</v>
      </c>
      <c r="C37" s="16" t="s">
        <v>68</v>
      </c>
      <c r="D37" s="16" t="s">
        <v>69</v>
      </c>
      <c r="E37" s="17" t="s">
        <v>25</v>
      </c>
      <c r="F37" s="17" t="s">
        <v>25</v>
      </c>
      <c r="G37" s="17" t="s">
        <v>25</v>
      </c>
      <c r="H37" s="3" t="s">
        <v>25</v>
      </c>
      <c r="I37" s="17"/>
      <c r="J37" s="17"/>
    </row>
    <row r="38" spans="1:10" x14ac:dyDescent="0.25">
      <c r="B38" s="33" t="s">
        <v>70</v>
      </c>
      <c r="C38" s="34"/>
      <c r="D38" s="34"/>
      <c r="E38" s="34"/>
      <c r="F38" s="34"/>
      <c r="G38" s="34"/>
      <c r="H38" s="34"/>
      <c r="I38" s="34"/>
      <c r="J38" s="35"/>
    </row>
    <row r="39" spans="1:10" ht="160.5" customHeight="1" x14ac:dyDescent="0.25">
      <c r="A39" s="9" t="str">
        <f>IF(AND(D39="",D39=""),"",$D$3&amp;"_"&amp;ROW()-13-COUNTBLANK($D$14:D39))</f>
        <v>Up_DB_17</v>
      </c>
      <c r="B39" s="16" t="s">
        <v>71</v>
      </c>
      <c r="C39" s="16" t="s">
        <v>72</v>
      </c>
      <c r="D39" s="16" t="s">
        <v>73</v>
      </c>
      <c r="E39" s="17" t="s">
        <v>25</v>
      </c>
      <c r="F39" s="17" t="s">
        <v>25</v>
      </c>
      <c r="G39" s="17" t="s">
        <v>25</v>
      </c>
      <c r="H39" s="3" t="s">
        <v>25</v>
      </c>
      <c r="I39" s="17"/>
      <c r="J39" s="17"/>
    </row>
    <row r="40" spans="1:10" ht="94.5" x14ac:dyDescent="0.25">
      <c r="A40" s="9" t="str">
        <f>IF(AND(D40="",D40=""),"",$D$3&amp;"_"&amp;ROW()-13-COUNTBLANK($D$14:D40))</f>
        <v>Up_DB_18</v>
      </c>
      <c r="B40" s="16" t="s">
        <v>74</v>
      </c>
      <c r="C40" s="16" t="s">
        <v>75</v>
      </c>
      <c r="D40" s="16" t="s">
        <v>76</v>
      </c>
      <c r="E40" s="17" t="s">
        <v>25</v>
      </c>
      <c r="F40" s="17" t="s">
        <v>25</v>
      </c>
      <c r="G40" s="17" t="s">
        <v>25</v>
      </c>
      <c r="H40" s="3" t="s">
        <v>25</v>
      </c>
      <c r="I40" s="17"/>
      <c r="J40" s="17"/>
    </row>
    <row r="41" spans="1:10" ht="31.5" customHeight="1" x14ac:dyDescent="0.25">
      <c r="A41" s="61"/>
      <c r="B41" s="38" t="s">
        <v>83</v>
      </c>
      <c r="C41" s="39"/>
      <c r="D41" s="39"/>
      <c r="E41" s="39"/>
      <c r="F41" s="39"/>
      <c r="G41" s="39"/>
      <c r="H41" s="39"/>
      <c r="I41" s="39"/>
      <c r="J41" s="40"/>
    </row>
    <row r="42" spans="1:10" x14ac:dyDescent="0.25">
      <c r="A42" s="62"/>
      <c r="B42" s="33" t="s">
        <v>28</v>
      </c>
      <c r="C42" s="34"/>
      <c r="D42" s="34"/>
      <c r="E42" s="34"/>
      <c r="F42" s="34"/>
      <c r="G42" s="34"/>
      <c r="H42" s="34"/>
      <c r="I42" s="34"/>
      <c r="J42" s="35"/>
    </row>
    <row r="43" spans="1:10" ht="124.5" customHeight="1" x14ac:dyDescent="0.25">
      <c r="A43" s="9" t="str">
        <f>IF(AND(D43="",D43=""),"",$D$3&amp;"_"&amp;ROW()-13-COUNTBLANK($D$14:D43))</f>
        <v>Up_DB_19</v>
      </c>
      <c r="B43" s="16" t="s">
        <v>29</v>
      </c>
      <c r="C43" s="16" t="s">
        <v>84</v>
      </c>
      <c r="D43" s="16" t="s">
        <v>33</v>
      </c>
      <c r="E43" s="17" t="s">
        <v>25</v>
      </c>
      <c r="F43" s="17" t="s">
        <v>25</v>
      </c>
      <c r="G43" s="17" t="s">
        <v>25</v>
      </c>
      <c r="H43" s="3" t="s">
        <v>25</v>
      </c>
      <c r="I43" s="17"/>
      <c r="J43" s="17"/>
    </row>
    <row r="44" spans="1:10" ht="141.75" x14ac:dyDescent="0.25">
      <c r="A44" s="9" t="str">
        <f>IF(AND(D44="",D44=""),"",$D$3&amp;"_"&amp;ROW()-13-COUNTBLANK($D$14:D44))</f>
        <v>Up_DB_20</v>
      </c>
      <c r="B44" s="16" t="s">
        <v>31</v>
      </c>
      <c r="C44" s="16" t="s">
        <v>85</v>
      </c>
      <c r="D44" s="16" t="s">
        <v>86</v>
      </c>
      <c r="E44" s="17" t="s">
        <v>25</v>
      </c>
      <c r="F44" s="17" t="s">
        <v>25</v>
      </c>
      <c r="G44" s="17" t="s">
        <v>25</v>
      </c>
      <c r="H44" s="3" t="s">
        <v>25</v>
      </c>
      <c r="I44" s="17"/>
      <c r="J44" s="17"/>
    </row>
    <row r="45" spans="1:10" x14ac:dyDescent="0.25">
      <c r="B45" s="33" t="s">
        <v>35</v>
      </c>
      <c r="C45" s="34"/>
      <c r="D45" s="34"/>
      <c r="E45" s="34"/>
      <c r="F45" s="34"/>
      <c r="G45" s="34"/>
      <c r="H45" s="34"/>
      <c r="I45" s="34"/>
      <c r="J45" s="35"/>
    </row>
    <row r="46" spans="1:10" ht="126" x14ac:dyDescent="0.25">
      <c r="A46" s="9" t="str">
        <f>IF(AND(D46="",D46=""),"",$D$3&amp;"_"&amp;ROW()-13-COUNTBLANK($D$14:D46))</f>
        <v>Up_DB_21</v>
      </c>
      <c r="B46" s="16" t="s">
        <v>37</v>
      </c>
      <c r="C46" s="16" t="s">
        <v>88</v>
      </c>
      <c r="D46" s="16" t="s">
        <v>89</v>
      </c>
      <c r="E46" s="17" t="s">
        <v>25</v>
      </c>
      <c r="F46" s="17" t="s">
        <v>25</v>
      </c>
      <c r="G46" s="17" t="s">
        <v>25</v>
      </c>
      <c r="H46" s="3" t="s">
        <v>25</v>
      </c>
      <c r="I46" s="17"/>
      <c r="J46" s="17"/>
    </row>
    <row r="47" spans="1:10" ht="63" x14ac:dyDescent="0.25">
      <c r="A47" s="9" t="str">
        <f>IF(AND(D47="",D47=""),"",$D$3&amp;"_"&amp;ROW()-13-COUNTBLANK($D$14:D47))</f>
        <v>Up_DB_22</v>
      </c>
      <c r="B47" s="16" t="s">
        <v>38</v>
      </c>
      <c r="C47" s="16" t="s">
        <v>90</v>
      </c>
      <c r="D47" s="16" t="s">
        <v>40</v>
      </c>
      <c r="E47" s="17" t="s">
        <v>25</v>
      </c>
      <c r="F47" s="17" t="s">
        <v>25</v>
      </c>
      <c r="G47" s="17" t="s">
        <v>25</v>
      </c>
      <c r="H47" s="3" t="s">
        <v>25</v>
      </c>
      <c r="I47" s="17"/>
      <c r="J47" s="17"/>
    </row>
    <row r="48" spans="1:10" x14ac:dyDescent="0.25">
      <c r="B48" s="33" t="s">
        <v>44</v>
      </c>
      <c r="C48" s="34"/>
      <c r="D48" s="34"/>
      <c r="E48" s="34"/>
      <c r="F48" s="34"/>
      <c r="G48" s="34"/>
      <c r="H48" s="34"/>
      <c r="I48" s="34"/>
      <c r="J48" s="35"/>
    </row>
    <row r="49" spans="1:10" ht="204.75" x14ac:dyDescent="0.25">
      <c r="A49" s="9" t="str">
        <f>IF(AND(D49="",D49=""),"",$D$3&amp;"_"&amp;ROW()-13-COUNTBLANK($D$14:D49))</f>
        <v>Up_DB_23</v>
      </c>
      <c r="B49" s="16" t="s">
        <v>41</v>
      </c>
      <c r="C49" s="16" t="s">
        <v>91</v>
      </c>
      <c r="D49" s="16" t="s">
        <v>80</v>
      </c>
      <c r="E49" s="17" t="s">
        <v>25</v>
      </c>
      <c r="F49" s="17" t="s">
        <v>25</v>
      </c>
      <c r="G49" s="17" t="s">
        <v>25</v>
      </c>
      <c r="H49" s="3" t="s">
        <v>25</v>
      </c>
      <c r="I49" s="17"/>
      <c r="J49" s="17"/>
    </row>
    <row r="50" spans="1:10" ht="204.75" x14ac:dyDescent="0.25">
      <c r="A50" s="9" t="str">
        <f>IF(AND(D50="",D50=""),"",$D$3&amp;"_"&amp;ROW()-13-COUNTBLANK($D$14:D50))</f>
        <v>Up_DB_24</v>
      </c>
      <c r="B50" s="16" t="s">
        <v>42</v>
      </c>
      <c r="C50" s="16" t="s">
        <v>93</v>
      </c>
      <c r="D50" s="16" t="s">
        <v>81</v>
      </c>
      <c r="E50" s="17" t="s">
        <v>25</v>
      </c>
      <c r="F50" s="17" t="s">
        <v>25</v>
      </c>
      <c r="G50" s="17" t="s">
        <v>25</v>
      </c>
      <c r="H50" s="3" t="s">
        <v>25</v>
      </c>
      <c r="I50" s="17"/>
      <c r="J50" s="17"/>
    </row>
    <row r="51" spans="1:10" ht="189" x14ac:dyDescent="0.25">
      <c r="A51" s="9" t="str">
        <f>IF(AND(D51="",D51=""),"",$D$3&amp;"_"&amp;ROW()-13-COUNTBLANK($D$14:D51))</f>
        <v>Up_DB_25</v>
      </c>
      <c r="B51" s="16" t="s">
        <v>43</v>
      </c>
      <c r="C51" s="16" t="s">
        <v>92</v>
      </c>
      <c r="D51" s="16" t="s">
        <v>82</v>
      </c>
      <c r="E51" s="17" t="s">
        <v>25</v>
      </c>
      <c r="F51" s="17" t="s">
        <v>25</v>
      </c>
      <c r="G51" s="17" t="s">
        <v>25</v>
      </c>
      <c r="H51" s="3" t="s">
        <v>25</v>
      </c>
      <c r="I51" s="17"/>
      <c r="J51" s="17"/>
    </row>
    <row r="52" spans="1:10" x14ac:dyDescent="0.25">
      <c r="B52" s="33" t="s">
        <v>45</v>
      </c>
      <c r="C52" s="34"/>
      <c r="D52" s="34"/>
      <c r="E52" s="34"/>
      <c r="F52" s="34"/>
      <c r="G52" s="34"/>
      <c r="H52" s="34"/>
      <c r="I52" s="34"/>
      <c r="J52" s="35"/>
    </row>
    <row r="53" spans="1:10" ht="189" x14ac:dyDescent="0.25">
      <c r="A53" s="9" t="str">
        <f>IF(AND(D53="",D53=""),"",$D$3&amp;"_"&amp;ROW()-13-COUNTBLANK($D$14:D53))</f>
        <v>Up_DB_26</v>
      </c>
      <c r="B53" s="16" t="s">
        <v>46</v>
      </c>
      <c r="C53" s="16" t="s">
        <v>95</v>
      </c>
      <c r="D53" s="16" t="s">
        <v>94</v>
      </c>
      <c r="E53" s="17" t="s">
        <v>25</v>
      </c>
      <c r="F53" s="17" t="s">
        <v>25</v>
      </c>
      <c r="G53" s="17" t="s">
        <v>25</v>
      </c>
      <c r="H53" s="3" t="s">
        <v>25</v>
      </c>
      <c r="I53" s="17"/>
      <c r="J53" s="17"/>
    </row>
    <row r="54" spans="1:10" ht="126.75" customHeight="1" x14ac:dyDescent="0.25">
      <c r="A54" s="9" t="str">
        <f>IF(AND(D54="",D54=""),"",$D$3&amp;"_"&amp;ROW()-13-COUNTBLANK($D$14:D54))</f>
        <v>Up_DB_27</v>
      </c>
      <c r="B54" s="16" t="s">
        <v>47</v>
      </c>
      <c r="C54" s="16" t="s">
        <v>97</v>
      </c>
      <c r="D54" s="16" t="s">
        <v>56</v>
      </c>
      <c r="E54" s="17" t="s">
        <v>25</v>
      </c>
      <c r="F54" s="17" t="s">
        <v>25</v>
      </c>
      <c r="G54" s="17" t="s">
        <v>25</v>
      </c>
      <c r="H54" s="3" t="s">
        <v>25</v>
      </c>
      <c r="I54" s="17"/>
      <c r="J54" s="17"/>
    </row>
    <row r="55" spans="1:10" ht="126" x14ac:dyDescent="0.25">
      <c r="A55" s="9" t="str">
        <f>IF(AND(D55="",D55=""),"",$D$3&amp;"_"&amp;ROW()-13-COUNTBLANK($D$14:D55))</f>
        <v>Up_DB_28</v>
      </c>
      <c r="B55" s="16" t="s">
        <v>48</v>
      </c>
      <c r="C55" s="16" t="s">
        <v>96</v>
      </c>
      <c r="D55" s="16" t="s">
        <v>58</v>
      </c>
      <c r="E55" s="17" t="s">
        <v>25</v>
      </c>
      <c r="F55" s="17" t="s">
        <v>25</v>
      </c>
      <c r="G55" s="17" t="s">
        <v>25</v>
      </c>
      <c r="H55" s="3" t="s">
        <v>25</v>
      </c>
      <c r="I55" s="17"/>
      <c r="J55" s="17"/>
    </row>
    <row r="56" spans="1:10" ht="110.25" x14ac:dyDescent="0.25">
      <c r="A56" s="9" t="str">
        <f>IF(AND(D56="",D56=""),"",$D$3&amp;"_"&amp;ROW()-13-COUNTBLANK($D$14:D56))</f>
        <v>Up_DB_29</v>
      </c>
      <c r="B56" s="16" t="s">
        <v>49</v>
      </c>
      <c r="C56" s="16" t="s">
        <v>203</v>
      </c>
      <c r="D56" s="16" t="s">
        <v>59</v>
      </c>
      <c r="E56" s="17" t="s">
        <v>25</v>
      </c>
      <c r="F56" s="17" t="s">
        <v>25</v>
      </c>
      <c r="G56" s="17" t="s">
        <v>25</v>
      </c>
      <c r="H56" s="3" t="s">
        <v>25</v>
      </c>
      <c r="I56" s="17"/>
      <c r="J56" s="17"/>
    </row>
    <row r="57" spans="1:10" x14ac:dyDescent="0.25">
      <c r="B57" s="33" t="s">
        <v>60</v>
      </c>
      <c r="C57" s="34"/>
      <c r="D57" s="34"/>
      <c r="E57" s="34"/>
      <c r="F57" s="34"/>
      <c r="G57" s="34"/>
      <c r="H57" s="34"/>
      <c r="I57" s="34"/>
      <c r="J57" s="35"/>
    </row>
    <row r="58" spans="1:10" ht="63" x14ac:dyDescent="0.25">
      <c r="A58" s="9" t="str">
        <f>IF(AND(D58="",D58=""),"",$D$3&amp;"_"&amp;ROW()-13-COUNTBLANK($D$14:D58))</f>
        <v>Up_DB_30</v>
      </c>
      <c r="B58" s="16" t="s">
        <v>61</v>
      </c>
      <c r="C58" s="16" t="s">
        <v>87</v>
      </c>
      <c r="D58" s="16" t="s">
        <v>63</v>
      </c>
      <c r="E58" s="17" t="s">
        <v>25</v>
      </c>
      <c r="F58" s="17" t="s">
        <v>25</v>
      </c>
      <c r="G58" s="17" t="s">
        <v>25</v>
      </c>
      <c r="H58" s="3" t="s">
        <v>25</v>
      </c>
      <c r="I58" s="17"/>
      <c r="J58" s="17"/>
    </row>
    <row r="59" spans="1:10" ht="63" x14ac:dyDescent="0.25">
      <c r="A59" s="9" t="str">
        <f>IF(AND(D59="",D59=""),"",$D$3&amp;"_"&amp;ROW()-13-COUNTBLANK($D$14:D59))</f>
        <v>Up_DB_31</v>
      </c>
      <c r="B59" s="16" t="s">
        <v>64</v>
      </c>
      <c r="C59" s="16" t="s">
        <v>98</v>
      </c>
      <c r="D59" s="16" t="s">
        <v>66</v>
      </c>
      <c r="E59" s="17" t="s">
        <v>25</v>
      </c>
      <c r="F59" s="17" t="s">
        <v>25</v>
      </c>
      <c r="G59" s="17" t="s">
        <v>25</v>
      </c>
      <c r="H59" s="3" t="s">
        <v>25</v>
      </c>
      <c r="I59" s="17"/>
      <c r="J59" s="17"/>
    </row>
    <row r="60" spans="1:10" ht="63" x14ac:dyDescent="0.25">
      <c r="A60" s="9" t="str">
        <f>IF(AND(D60="",D60=""),"",$D$3&amp;"_"&amp;ROW()-13-COUNTBLANK($D$14:D60))</f>
        <v>Up_DB_32</v>
      </c>
      <c r="B60" s="16" t="s">
        <v>67</v>
      </c>
      <c r="C60" s="16" t="s">
        <v>99</v>
      </c>
      <c r="D60" s="16" t="s">
        <v>69</v>
      </c>
      <c r="E60" s="17" t="s">
        <v>25</v>
      </c>
      <c r="F60" s="17" t="s">
        <v>25</v>
      </c>
      <c r="G60" s="17" t="s">
        <v>25</v>
      </c>
      <c r="H60" s="3" t="s">
        <v>25</v>
      </c>
      <c r="I60" s="17"/>
      <c r="J60" s="17"/>
    </row>
    <row r="61" spans="1:10" x14ac:dyDescent="0.25">
      <c r="B61" s="13" t="s">
        <v>70</v>
      </c>
      <c r="C61" s="14"/>
      <c r="D61" s="14"/>
      <c r="E61" s="14"/>
      <c r="F61" s="14"/>
      <c r="G61" s="14"/>
      <c r="H61" s="14"/>
      <c r="I61" s="14"/>
      <c r="J61" s="15"/>
    </row>
    <row r="62" spans="1:10" ht="160.5" customHeight="1" x14ac:dyDescent="0.25">
      <c r="A62" s="9" t="str">
        <f>IF(AND(D62="",D62=""),"",$D$3&amp;"_"&amp;ROW()-13-COUNTBLANK($D$14:D62))</f>
        <v>Up_DB_33</v>
      </c>
      <c r="B62" s="16" t="s">
        <v>71</v>
      </c>
      <c r="C62" s="16" t="s">
        <v>100</v>
      </c>
      <c r="D62" s="16" t="s">
        <v>73</v>
      </c>
      <c r="E62" s="17" t="s">
        <v>25</v>
      </c>
      <c r="F62" s="17" t="s">
        <v>25</v>
      </c>
      <c r="G62" s="17" t="s">
        <v>25</v>
      </c>
      <c r="H62" s="3" t="s">
        <v>25</v>
      </c>
      <c r="I62" s="17"/>
      <c r="J62" s="17"/>
    </row>
    <row r="63" spans="1:10" ht="94.5" x14ac:dyDescent="0.25">
      <c r="A63" s="9" t="str">
        <f>IF(AND(D63="",D63=""),"",$D$3&amp;"_"&amp;ROW()-13-COUNTBLANK($D$14:D63))</f>
        <v>Up_DB_34</v>
      </c>
      <c r="B63" s="16" t="s">
        <v>74</v>
      </c>
      <c r="C63" s="16" t="s">
        <v>101</v>
      </c>
      <c r="D63" s="16" t="s">
        <v>76</v>
      </c>
      <c r="E63" s="17" t="s">
        <v>25</v>
      </c>
      <c r="F63" s="17" t="s">
        <v>25</v>
      </c>
      <c r="G63" s="17" t="s">
        <v>25</v>
      </c>
      <c r="H63" s="3" t="s">
        <v>25</v>
      </c>
      <c r="I63" s="17"/>
      <c r="J63" s="17"/>
    </row>
    <row r="64" spans="1:10" ht="15.75" customHeight="1" x14ac:dyDescent="0.25">
      <c r="A64" s="61"/>
      <c r="B64" s="52" t="s">
        <v>117</v>
      </c>
      <c r="C64" s="53"/>
      <c r="D64" s="53"/>
      <c r="E64" s="53"/>
      <c r="F64" s="53"/>
      <c r="G64" s="53"/>
      <c r="H64" s="53"/>
      <c r="I64" s="53"/>
      <c r="J64" s="54"/>
    </row>
    <row r="65" spans="1:10" ht="31.5" customHeight="1" x14ac:dyDescent="0.25">
      <c r="A65" s="62"/>
      <c r="B65" s="38" t="s">
        <v>167</v>
      </c>
      <c r="C65" s="39"/>
      <c r="D65" s="39"/>
      <c r="E65" s="39"/>
      <c r="F65" s="39"/>
      <c r="G65" s="39"/>
      <c r="H65" s="39"/>
      <c r="I65" s="39"/>
      <c r="J65" s="40"/>
    </row>
    <row r="66" spans="1:10" x14ac:dyDescent="0.25">
      <c r="A66" s="21"/>
      <c r="B66" s="33" t="s">
        <v>151</v>
      </c>
      <c r="C66" s="34"/>
      <c r="D66" s="34"/>
      <c r="E66" s="34"/>
      <c r="F66" s="34"/>
      <c r="G66" s="34"/>
      <c r="H66" s="34"/>
      <c r="I66" s="34"/>
      <c r="J66" s="35"/>
    </row>
    <row r="67" spans="1:10" ht="47.25" x14ac:dyDescent="0.25">
      <c r="A67" s="9" t="str">
        <f>IF(AND(D67="",D67=""),"",$D$3&amp;"_"&amp;ROW()-13-COUNTBLANK($D$14:D67))</f>
        <v>Up_DB_35</v>
      </c>
      <c r="B67" s="22" t="s">
        <v>213</v>
      </c>
      <c r="C67" s="16" t="s">
        <v>214</v>
      </c>
      <c r="D67" s="16" t="s">
        <v>215</v>
      </c>
      <c r="E67" s="17" t="s">
        <v>25</v>
      </c>
      <c r="F67" s="17" t="s">
        <v>25</v>
      </c>
      <c r="G67" s="17" t="s">
        <v>25</v>
      </c>
      <c r="H67" s="3" t="s">
        <v>25</v>
      </c>
      <c r="I67" s="17"/>
      <c r="J67" s="17"/>
    </row>
    <row r="68" spans="1:10" x14ac:dyDescent="0.25">
      <c r="A68" s="24"/>
      <c r="B68" s="33" t="s">
        <v>102</v>
      </c>
      <c r="C68" s="34"/>
      <c r="D68" s="34"/>
      <c r="E68" s="34"/>
      <c r="F68" s="34"/>
      <c r="G68" s="34"/>
      <c r="H68" s="34"/>
      <c r="I68" s="34"/>
      <c r="J68" s="35"/>
    </row>
    <row r="69" spans="1:10" ht="63" x14ac:dyDescent="0.25">
      <c r="A69" s="9" t="str">
        <f>IF(AND(D69="",D69=""),"",$D$3&amp;"_"&amp;ROW()-13-COUNTBLANK($D$14:D69))</f>
        <v>Up_DB_36</v>
      </c>
      <c r="B69" s="22" t="s">
        <v>216</v>
      </c>
      <c r="C69" s="16" t="s">
        <v>217</v>
      </c>
      <c r="D69" s="16" t="s">
        <v>218</v>
      </c>
      <c r="E69" s="17" t="s">
        <v>25</v>
      </c>
      <c r="F69" s="17" t="s">
        <v>25</v>
      </c>
      <c r="G69" s="17" t="s">
        <v>25</v>
      </c>
      <c r="H69" s="3" t="s">
        <v>25</v>
      </c>
      <c r="I69" s="17"/>
      <c r="J69" s="17"/>
    </row>
    <row r="70" spans="1:10" ht="63" x14ac:dyDescent="0.25">
      <c r="A70" s="9" t="str">
        <f>IF(AND(D70="",D70=""),"",$D$3&amp;"_"&amp;ROW()-13-COUNTBLANK($D$14:D70))</f>
        <v>Up_DB_37</v>
      </c>
      <c r="B70" s="22" t="s">
        <v>219</v>
      </c>
      <c r="C70" s="16" t="s">
        <v>220</v>
      </c>
      <c r="D70" s="16" t="s">
        <v>221</v>
      </c>
      <c r="E70" s="17" t="s">
        <v>25</v>
      </c>
      <c r="F70" s="17" t="s">
        <v>25</v>
      </c>
      <c r="G70" s="17" t="s">
        <v>25</v>
      </c>
      <c r="H70" s="3" t="s">
        <v>25</v>
      </c>
      <c r="I70" s="17"/>
      <c r="J70" s="17"/>
    </row>
    <row r="71" spans="1:10" ht="15.75" customHeight="1" x14ac:dyDescent="0.25">
      <c r="A71" s="23"/>
      <c r="B71" s="38" t="s">
        <v>150</v>
      </c>
      <c r="C71" s="39"/>
      <c r="D71" s="39"/>
      <c r="E71" s="39"/>
      <c r="F71" s="39"/>
      <c r="G71" s="39"/>
      <c r="H71" s="39"/>
      <c r="I71" s="39"/>
      <c r="J71" s="40"/>
    </row>
    <row r="72" spans="1:10" ht="47.25" x14ac:dyDescent="0.25">
      <c r="A72" s="9" t="str">
        <f>IF(AND(D72="",D72=""),"",$D$3&amp;"_"&amp;ROW()-13-COUNTBLANK($D$14:D72))</f>
        <v>Up_DB_38</v>
      </c>
      <c r="B72" s="22" t="s">
        <v>210</v>
      </c>
      <c r="C72" s="16" t="s">
        <v>211</v>
      </c>
      <c r="D72" s="16" t="s">
        <v>212</v>
      </c>
      <c r="E72" s="17" t="s">
        <v>25</v>
      </c>
      <c r="F72" s="17" t="s">
        <v>25</v>
      </c>
      <c r="G72" s="17" t="s">
        <v>25</v>
      </c>
      <c r="H72" s="3" t="s">
        <v>25</v>
      </c>
      <c r="I72" s="17"/>
      <c r="J72" s="17"/>
    </row>
    <row r="73" spans="1:10" ht="31.5" x14ac:dyDescent="0.25">
      <c r="A73" s="9" t="str">
        <f>IF(AND(D73="",D73=""),"",$D$3&amp;"_"&amp;ROW()-13-COUNTBLANK($D$14:D73))</f>
        <v>Up_DB_39</v>
      </c>
      <c r="B73" s="20" t="s">
        <v>222</v>
      </c>
      <c r="C73" s="16" t="s">
        <v>223</v>
      </c>
      <c r="D73" s="16" t="s">
        <v>224</v>
      </c>
      <c r="E73" s="17" t="s">
        <v>25</v>
      </c>
      <c r="F73" s="17" t="s">
        <v>25</v>
      </c>
      <c r="G73" s="17" t="s">
        <v>25</v>
      </c>
      <c r="H73" s="3" t="s">
        <v>25</v>
      </c>
      <c r="I73" s="17"/>
      <c r="J73" s="17"/>
    </row>
    <row r="74" spans="1:10" ht="94.5" x14ac:dyDescent="0.25">
      <c r="A74" s="9" t="str">
        <f>IF(AND(D74="",D74=""),"",$D$3&amp;"_"&amp;ROW()-13-COUNTBLANK($D$14:D74))</f>
        <v>Up_DB_40</v>
      </c>
      <c r="B74" s="20" t="s">
        <v>236</v>
      </c>
      <c r="C74" s="16" t="s">
        <v>237</v>
      </c>
      <c r="D74" s="16" t="s">
        <v>238</v>
      </c>
      <c r="E74" s="17" t="s">
        <v>25</v>
      </c>
      <c r="F74" s="17" t="s">
        <v>25</v>
      </c>
      <c r="G74" s="17" t="s">
        <v>25</v>
      </c>
      <c r="H74" s="3" t="s">
        <v>25</v>
      </c>
      <c r="I74" s="17"/>
      <c r="J74" s="17"/>
    </row>
    <row r="75" spans="1:10" ht="15.75" customHeight="1" x14ac:dyDescent="0.25">
      <c r="A75" s="61"/>
      <c r="B75" s="38" t="s">
        <v>118</v>
      </c>
      <c r="C75" s="39"/>
      <c r="D75" s="39"/>
      <c r="E75" s="39"/>
      <c r="F75" s="39"/>
      <c r="G75" s="39"/>
      <c r="H75" s="39"/>
      <c r="I75" s="39"/>
      <c r="J75" s="40"/>
    </row>
    <row r="76" spans="1:10" x14ac:dyDescent="0.25">
      <c r="A76" s="66"/>
      <c r="B76" s="33" t="s">
        <v>151</v>
      </c>
      <c r="C76" s="34"/>
      <c r="D76" s="34"/>
      <c r="E76" s="34"/>
      <c r="F76" s="34"/>
      <c r="G76" s="34"/>
      <c r="H76" s="34"/>
      <c r="I76" s="34"/>
      <c r="J76" s="35"/>
    </row>
    <row r="77" spans="1:10" ht="87.75" customHeight="1" x14ac:dyDescent="0.25">
      <c r="A77" s="9" t="str">
        <f>IF(AND(D77="",D77=""),"",$D$3&amp;"_"&amp;ROW()-13-COUNTBLANK($D$14:D77))</f>
        <v>Up_DB_41</v>
      </c>
      <c r="B77" s="67" t="s">
        <v>154</v>
      </c>
      <c r="C77" s="16" t="s">
        <v>152</v>
      </c>
      <c r="D77" s="16" t="s">
        <v>153</v>
      </c>
      <c r="E77" s="17" t="s">
        <v>25</v>
      </c>
      <c r="F77" s="17" t="s">
        <v>25</v>
      </c>
      <c r="G77" s="17" t="s">
        <v>25</v>
      </c>
      <c r="H77" s="3" t="s">
        <v>25</v>
      </c>
      <c r="I77" s="17"/>
      <c r="J77" s="36" t="s">
        <v>160</v>
      </c>
    </row>
    <row r="78" spans="1:10" ht="146.25" customHeight="1" x14ac:dyDescent="0.25">
      <c r="A78" s="9" t="str">
        <f>IF(AND(D78="",D78=""),"",$D$3&amp;"_"&amp;ROW()-13-COUNTBLANK($D$14:D78))</f>
        <v>Up_DB_42</v>
      </c>
      <c r="B78" s="68"/>
      <c r="C78" s="16" t="s">
        <v>155</v>
      </c>
      <c r="D78" s="16" t="s">
        <v>156</v>
      </c>
      <c r="E78" s="17" t="s">
        <v>25</v>
      </c>
      <c r="F78" s="17" t="s">
        <v>25</v>
      </c>
      <c r="G78" s="17" t="s">
        <v>25</v>
      </c>
      <c r="H78" s="3" t="s">
        <v>25</v>
      </c>
      <c r="I78" s="17"/>
      <c r="J78" s="41"/>
    </row>
    <row r="79" spans="1:10" ht="238.5" customHeight="1" x14ac:dyDescent="0.25">
      <c r="A79" s="9" t="str">
        <f>IF(AND(D79="",D79=""),"",$D$3&amp;"_"&amp;ROW()-13-COUNTBLANK($D$14:D79))</f>
        <v>Up_DB_43</v>
      </c>
      <c r="B79" s="20" t="s">
        <v>157</v>
      </c>
      <c r="C79" s="16" t="s">
        <v>158</v>
      </c>
      <c r="D79" s="16" t="s">
        <v>159</v>
      </c>
      <c r="E79" s="17" t="s">
        <v>25</v>
      </c>
      <c r="F79" s="17" t="s">
        <v>25</v>
      </c>
      <c r="G79" s="17" t="s">
        <v>25</v>
      </c>
      <c r="H79" s="3" t="s">
        <v>25</v>
      </c>
      <c r="I79" s="17"/>
      <c r="J79" s="37"/>
    </row>
    <row r="80" spans="1:10" x14ac:dyDescent="0.25">
      <c r="A80" s="24"/>
      <c r="B80" s="33" t="s">
        <v>102</v>
      </c>
      <c r="C80" s="34"/>
      <c r="D80" s="34"/>
      <c r="E80" s="34"/>
      <c r="F80" s="34"/>
      <c r="G80" s="34"/>
      <c r="H80" s="34"/>
      <c r="I80" s="34"/>
      <c r="J80" s="35"/>
    </row>
    <row r="81" spans="1:10" ht="47.25" customHeight="1" x14ac:dyDescent="0.25">
      <c r="A81" s="9" t="str">
        <f>IF(AND(D81="",D81=""),"",$D$3&amp;"_"&amp;ROW()-13-COUNTBLANK($D$14:D81))</f>
        <v>Up_DB_44</v>
      </c>
      <c r="B81" s="36" t="s">
        <v>103</v>
      </c>
      <c r="C81" s="16" t="s">
        <v>105</v>
      </c>
      <c r="D81" s="16" t="s">
        <v>107</v>
      </c>
      <c r="E81" s="17" t="s">
        <v>25</v>
      </c>
      <c r="F81" s="17" t="s">
        <v>25</v>
      </c>
      <c r="G81" s="17" t="s">
        <v>25</v>
      </c>
      <c r="H81" s="3" t="s">
        <v>25</v>
      </c>
      <c r="I81" s="17"/>
      <c r="J81" s="36" t="s">
        <v>169</v>
      </c>
    </row>
    <row r="82" spans="1:10" ht="47.25" x14ac:dyDescent="0.25">
      <c r="A82" s="9" t="str">
        <f>IF(AND(D82="",D82=""),"",$D$3&amp;"_"&amp;ROW()-13-COUNTBLANK($D$14:D82))</f>
        <v>Up_DB_45</v>
      </c>
      <c r="B82" s="41"/>
      <c r="C82" s="16" t="s">
        <v>104</v>
      </c>
      <c r="D82" s="16" t="s">
        <v>108</v>
      </c>
      <c r="E82" s="17" t="s">
        <v>25</v>
      </c>
      <c r="F82" s="17" t="s">
        <v>25</v>
      </c>
      <c r="G82" s="17" t="s">
        <v>25</v>
      </c>
      <c r="H82" s="3" t="s">
        <v>25</v>
      </c>
      <c r="I82" s="17"/>
      <c r="J82" s="41"/>
    </row>
    <row r="83" spans="1:10" ht="47.25" x14ac:dyDescent="0.25">
      <c r="A83" s="9" t="str">
        <f>IF(AND(D83="",D83=""),"",$D$3&amp;"_"&amp;ROW()-13-COUNTBLANK($D$14:D83))</f>
        <v>Up_DB_46</v>
      </c>
      <c r="B83" s="41"/>
      <c r="C83" s="16" t="s">
        <v>106</v>
      </c>
      <c r="D83" s="16" t="s">
        <v>109</v>
      </c>
      <c r="E83" s="17" t="s">
        <v>25</v>
      </c>
      <c r="F83" s="17" t="s">
        <v>25</v>
      </c>
      <c r="G83" s="17" t="s">
        <v>25</v>
      </c>
      <c r="H83" s="3" t="s">
        <v>25</v>
      </c>
      <c r="I83" s="17"/>
      <c r="J83" s="41"/>
    </row>
    <row r="84" spans="1:10" ht="63" customHeight="1" x14ac:dyDescent="0.25">
      <c r="A84" s="9" t="str">
        <f>IF(AND(D84="",D84=""),"",$D$3&amp;"_"&amp;ROW()-13-COUNTBLANK($D$14:D84))</f>
        <v>Up_DB_47</v>
      </c>
      <c r="B84" s="41"/>
      <c r="C84" s="16" t="s">
        <v>119</v>
      </c>
      <c r="D84" s="16" t="s">
        <v>107</v>
      </c>
      <c r="E84" s="17" t="s">
        <v>25</v>
      </c>
      <c r="F84" s="17" t="s">
        <v>25</v>
      </c>
      <c r="G84" s="17" t="s">
        <v>25</v>
      </c>
      <c r="H84" s="3" t="s">
        <v>25</v>
      </c>
      <c r="I84" s="17"/>
      <c r="J84" s="41"/>
    </row>
    <row r="85" spans="1:10" ht="63" customHeight="1" x14ac:dyDescent="0.25">
      <c r="A85" s="9" t="str">
        <f>IF(AND(D85="",D85=""),"",$D$3&amp;"_"&amp;ROW()-13-COUNTBLANK($D$14:D85))</f>
        <v>Up_DB_48</v>
      </c>
      <c r="B85" s="41"/>
      <c r="C85" s="16" t="s">
        <v>120</v>
      </c>
      <c r="D85" s="16" t="s">
        <v>108</v>
      </c>
      <c r="E85" s="17" t="s">
        <v>25</v>
      </c>
      <c r="F85" s="17" t="s">
        <v>25</v>
      </c>
      <c r="G85" s="17" t="s">
        <v>25</v>
      </c>
      <c r="H85" s="3" t="s">
        <v>25</v>
      </c>
      <c r="I85" s="17"/>
      <c r="J85" s="41"/>
    </row>
    <row r="86" spans="1:10" ht="63" customHeight="1" x14ac:dyDescent="0.25">
      <c r="A86" s="9" t="str">
        <f>IF(AND(D86="",D86=""),"",$D$3&amp;"_"&amp;ROW()-13-COUNTBLANK($D$14:D86))</f>
        <v>Up_DB_49</v>
      </c>
      <c r="B86" s="41"/>
      <c r="C86" s="16" t="s">
        <v>121</v>
      </c>
      <c r="D86" s="16" t="s">
        <v>109</v>
      </c>
      <c r="E86" s="17" t="s">
        <v>25</v>
      </c>
      <c r="F86" s="17" t="s">
        <v>25</v>
      </c>
      <c r="G86" s="17" t="s">
        <v>25</v>
      </c>
      <c r="H86" s="3" t="s">
        <v>25</v>
      </c>
      <c r="I86" s="17"/>
      <c r="J86" s="41"/>
    </row>
    <row r="87" spans="1:10" ht="63" x14ac:dyDescent="0.25">
      <c r="A87" s="9" t="str">
        <f>IF(AND(D87="",D87=""),"",$D$3&amp;"_"&amp;ROW()-13-COUNTBLANK($D$14:D87))</f>
        <v>Up_DB_50</v>
      </c>
      <c r="B87" s="41"/>
      <c r="C87" s="16" t="s">
        <v>122</v>
      </c>
      <c r="D87" s="16" t="s">
        <v>107</v>
      </c>
      <c r="E87" s="17" t="s">
        <v>25</v>
      </c>
      <c r="F87" s="17" t="s">
        <v>25</v>
      </c>
      <c r="G87" s="17" t="s">
        <v>25</v>
      </c>
      <c r="H87" s="3" t="s">
        <v>25</v>
      </c>
      <c r="I87" s="17"/>
      <c r="J87" s="41"/>
    </row>
    <row r="88" spans="1:10" ht="63" x14ac:dyDescent="0.25">
      <c r="A88" s="9" t="str">
        <f>IF(AND(D88="",D88=""),"",$D$3&amp;"_"&amp;ROW()-13-COUNTBLANK($D$14:D88))</f>
        <v>Up_DB_51</v>
      </c>
      <c r="B88" s="41"/>
      <c r="C88" s="16" t="s">
        <v>123</v>
      </c>
      <c r="D88" s="16" t="s">
        <v>108</v>
      </c>
      <c r="E88" s="17" t="s">
        <v>25</v>
      </c>
      <c r="F88" s="17" t="s">
        <v>25</v>
      </c>
      <c r="G88" s="17" t="s">
        <v>25</v>
      </c>
      <c r="H88" s="3" t="s">
        <v>25</v>
      </c>
      <c r="I88" s="17"/>
      <c r="J88" s="41"/>
    </row>
    <row r="89" spans="1:10" ht="63" x14ac:dyDescent="0.25">
      <c r="A89" s="9" t="str">
        <f>IF(AND(D89="",D89=""),"",$D$3&amp;"_"&amp;ROW()-13-COUNTBLANK($D$14:D89))</f>
        <v>Up_DB_52</v>
      </c>
      <c r="B89" s="37"/>
      <c r="C89" s="16" t="s">
        <v>124</v>
      </c>
      <c r="D89" s="16" t="s">
        <v>109</v>
      </c>
      <c r="E89" s="17" t="s">
        <v>25</v>
      </c>
      <c r="F89" s="17" t="s">
        <v>25</v>
      </c>
      <c r="G89" s="17" t="s">
        <v>25</v>
      </c>
      <c r="H89" s="3" t="s">
        <v>25</v>
      </c>
      <c r="I89" s="17"/>
      <c r="J89" s="41"/>
    </row>
    <row r="90" spans="1:10" ht="78.75" customHeight="1" x14ac:dyDescent="0.25">
      <c r="A90" s="9" t="str">
        <f>IF(AND(D90="",D90=""),"",$D$3&amp;"_"&amp;ROW()-13-COUNTBLANK($D$14:D90))</f>
        <v>Up_DB_53</v>
      </c>
      <c r="B90" s="36" t="s">
        <v>125</v>
      </c>
      <c r="C90" s="16" t="s">
        <v>127</v>
      </c>
      <c r="D90" s="16" t="s">
        <v>107</v>
      </c>
      <c r="E90" s="17" t="s">
        <v>25</v>
      </c>
      <c r="F90" s="17" t="s">
        <v>25</v>
      </c>
      <c r="G90" s="17" t="s">
        <v>25</v>
      </c>
      <c r="H90" s="3" t="s">
        <v>25</v>
      </c>
      <c r="I90" s="17"/>
      <c r="J90" s="41"/>
    </row>
    <row r="91" spans="1:10" ht="126" x14ac:dyDescent="0.25">
      <c r="A91" s="9" t="str">
        <f>IF(AND(D91="",D91=""),"",$D$3&amp;"_"&amp;ROW()-13-COUNTBLANK($D$14:D91))</f>
        <v>Up_DB_54</v>
      </c>
      <c r="B91" s="41"/>
      <c r="C91" s="16" t="s">
        <v>131</v>
      </c>
      <c r="D91" s="16" t="s">
        <v>126</v>
      </c>
      <c r="E91" s="17" t="s">
        <v>25</v>
      </c>
      <c r="F91" s="17" t="s">
        <v>25</v>
      </c>
      <c r="G91" s="17" t="s">
        <v>25</v>
      </c>
      <c r="H91" s="3" t="s">
        <v>25</v>
      </c>
      <c r="I91" s="17"/>
      <c r="J91" s="41"/>
    </row>
    <row r="92" spans="1:10" ht="78.75" x14ac:dyDescent="0.25">
      <c r="A92" s="9" t="str">
        <f>IF(AND(D92="",D92=""),"",$D$3&amp;"_"&amp;ROW()-13-COUNTBLANK($D$14:D92))</f>
        <v>Up_DB_55</v>
      </c>
      <c r="B92" s="41"/>
      <c r="C92" s="16" t="s">
        <v>168</v>
      </c>
      <c r="D92" s="16" t="s">
        <v>107</v>
      </c>
      <c r="E92" s="17" t="s">
        <v>25</v>
      </c>
      <c r="F92" s="17" t="s">
        <v>25</v>
      </c>
      <c r="G92" s="17" t="s">
        <v>25</v>
      </c>
      <c r="H92" s="3" t="s">
        <v>25</v>
      </c>
      <c r="I92" s="17"/>
      <c r="J92" s="41"/>
    </row>
    <row r="93" spans="1:10" ht="141.75" x14ac:dyDescent="0.25">
      <c r="A93" s="9" t="str">
        <f>IF(AND(D93="",D93=""),"",$D$3&amp;"_"&amp;ROW()-13-COUNTBLANK($D$14:D93))</f>
        <v>Up_DB_56</v>
      </c>
      <c r="B93" s="41"/>
      <c r="C93" s="16" t="s">
        <v>129</v>
      </c>
      <c r="D93" s="16" t="s">
        <v>128</v>
      </c>
      <c r="E93" s="17" t="s">
        <v>25</v>
      </c>
      <c r="F93" s="17" t="s">
        <v>25</v>
      </c>
      <c r="G93" s="17" t="s">
        <v>25</v>
      </c>
      <c r="H93" s="3" t="s">
        <v>25</v>
      </c>
      <c r="I93" s="17"/>
      <c r="J93" s="41"/>
    </row>
    <row r="94" spans="1:10" ht="63" x14ac:dyDescent="0.25">
      <c r="A94" s="9" t="str">
        <f>IF(AND(D94="",D94=""),"",$D$3&amp;"_"&amp;ROW()-13-COUNTBLANK($D$14:D94))</f>
        <v>Up_DB_57</v>
      </c>
      <c r="B94" s="41"/>
      <c r="C94" s="16" t="s">
        <v>130</v>
      </c>
      <c r="D94" s="16" t="s">
        <v>107</v>
      </c>
      <c r="E94" s="17" t="s">
        <v>25</v>
      </c>
      <c r="F94" s="17" t="s">
        <v>25</v>
      </c>
      <c r="G94" s="17" t="s">
        <v>25</v>
      </c>
      <c r="H94" s="3" t="s">
        <v>25</v>
      </c>
      <c r="I94" s="17"/>
      <c r="J94" s="41"/>
    </row>
    <row r="95" spans="1:10" ht="126" customHeight="1" x14ac:dyDescent="0.25">
      <c r="A95" s="9" t="str">
        <f>IF(AND(D95="",D95=""),"",$D$3&amp;"_"&amp;ROW()-13-COUNTBLANK($D$14:D95))</f>
        <v>Up_DB_58</v>
      </c>
      <c r="B95" s="41"/>
      <c r="C95" s="16" t="s">
        <v>166</v>
      </c>
      <c r="D95" s="16" t="s">
        <v>134</v>
      </c>
      <c r="E95" s="17" t="s">
        <v>25</v>
      </c>
      <c r="F95" s="17" t="s">
        <v>25</v>
      </c>
      <c r="G95" s="17" t="s">
        <v>25</v>
      </c>
      <c r="H95" s="3" t="s">
        <v>25</v>
      </c>
      <c r="I95" s="17"/>
      <c r="J95" s="41"/>
    </row>
    <row r="96" spans="1:10" ht="189" x14ac:dyDescent="0.25">
      <c r="A96" s="9" t="str">
        <f>IF(AND(D96="",D96=""),"",$D$3&amp;"_"&amp;ROW()-13-COUNTBLANK($D$14:D96))</f>
        <v>Up_DB_59</v>
      </c>
      <c r="B96" s="37"/>
      <c r="C96" s="16" t="s">
        <v>133</v>
      </c>
      <c r="D96" s="16" t="s">
        <v>135</v>
      </c>
      <c r="E96" s="17" t="s">
        <v>25</v>
      </c>
      <c r="F96" s="17" t="s">
        <v>25</v>
      </c>
      <c r="G96" s="17" t="s">
        <v>25</v>
      </c>
      <c r="H96" s="3" t="s">
        <v>25</v>
      </c>
      <c r="I96" s="17"/>
      <c r="J96" s="37"/>
    </row>
    <row r="97" spans="1:10" x14ac:dyDescent="0.25">
      <c r="A97" s="19"/>
      <c r="B97" s="33" t="s">
        <v>132</v>
      </c>
      <c r="C97" s="34"/>
      <c r="D97" s="34"/>
      <c r="E97" s="34"/>
      <c r="F97" s="34"/>
      <c r="G97" s="34"/>
      <c r="H97" s="34"/>
      <c r="I97" s="34"/>
      <c r="J97" s="35"/>
    </row>
    <row r="98" spans="1:10" ht="223.5" customHeight="1" x14ac:dyDescent="0.25">
      <c r="A98" s="9" t="str">
        <f>IF(AND(D98="",D98=""),"",$D$3&amp;"_"&amp;ROW()-13-COUNTBLANK($D$14:D98))</f>
        <v>Up_DB_60</v>
      </c>
      <c r="B98" s="41" t="s">
        <v>206</v>
      </c>
      <c r="C98" s="26" t="s">
        <v>193</v>
      </c>
      <c r="D98" s="16" t="s">
        <v>139</v>
      </c>
      <c r="E98" s="17" t="s">
        <v>25</v>
      </c>
      <c r="F98" s="17" t="s">
        <v>25</v>
      </c>
      <c r="G98" s="17" t="s">
        <v>25</v>
      </c>
      <c r="H98" s="3" t="s">
        <v>25</v>
      </c>
      <c r="I98" s="17"/>
      <c r="J98" s="17"/>
    </row>
    <row r="99" spans="1:10" ht="256.5" customHeight="1" x14ac:dyDescent="0.25">
      <c r="A99" s="9" t="str">
        <f>IF(AND(D99="",D99=""),"",$D$3&amp;"_"&amp;ROW()-13-COUNTBLANK($D$14:D99))</f>
        <v>Up_DB_61</v>
      </c>
      <c r="B99" s="37"/>
      <c r="C99" s="16" t="s">
        <v>192</v>
      </c>
      <c r="D99" s="16" t="s">
        <v>141</v>
      </c>
      <c r="E99" s="17" t="s">
        <v>25</v>
      </c>
      <c r="F99" s="17" t="s">
        <v>25</v>
      </c>
      <c r="G99" s="17" t="s">
        <v>25</v>
      </c>
      <c r="H99" s="3" t="s">
        <v>25</v>
      </c>
      <c r="I99" s="17"/>
      <c r="J99" s="17"/>
    </row>
    <row r="100" spans="1:10" ht="237" customHeight="1" x14ac:dyDescent="0.25">
      <c r="A100" s="9" t="str">
        <f>IF(AND(D100="",D100=""),"",$D$3&amp;"_"&amp;ROW()-13-COUNTBLANK($D$14:D100))</f>
        <v>Up_DB_62</v>
      </c>
      <c r="B100" s="41" t="s">
        <v>207</v>
      </c>
      <c r="C100" s="26" t="s">
        <v>204</v>
      </c>
      <c r="D100" s="16" t="s">
        <v>145</v>
      </c>
      <c r="E100" s="17" t="s">
        <v>25</v>
      </c>
      <c r="F100" s="17" t="s">
        <v>25</v>
      </c>
      <c r="G100" s="17" t="s">
        <v>25</v>
      </c>
      <c r="H100" s="3" t="s">
        <v>25</v>
      </c>
      <c r="I100" s="17"/>
      <c r="J100" s="17"/>
    </row>
    <row r="101" spans="1:10" ht="174" customHeight="1" x14ac:dyDescent="0.25">
      <c r="A101" s="9" t="str">
        <f>IF(AND(D101="",D101=""),"",$D$3&amp;"_"&amp;ROW()-13-COUNTBLANK($D$14:D101))</f>
        <v>Up_DB_63</v>
      </c>
      <c r="B101" s="37"/>
      <c r="C101" s="16" t="s">
        <v>180</v>
      </c>
      <c r="D101" s="16" t="s">
        <v>143</v>
      </c>
      <c r="E101" s="17" t="s">
        <v>25</v>
      </c>
      <c r="F101" s="17" t="s">
        <v>25</v>
      </c>
      <c r="G101" s="17" t="s">
        <v>25</v>
      </c>
      <c r="H101" s="3" t="s">
        <v>25</v>
      </c>
      <c r="I101" s="17"/>
      <c r="J101" s="17"/>
    </row>
    <row r="102" spans="1:10" ht="206.25" customHeight="1" x14ac:dyDescent="0.25">
      <c r="A102" s="9" t="str">
        <f>IF(AND(D102="",D102=""),"",$D$3&amp;"_"&amp;ROW()-13-COUNTBLANK($D$14:D102))</f>
        <v>Up_DB_64</v>
      </c>
      <c r="B102" s="41" t="s">
        <v>208</v>
      </c>
      <c r="C102" s="26" t="s">
        <v>205</v>
      </c>
      <c r="D102" s="16" t="s">
        <v>148</v>
      </c>
      <c r="E102" s="17" t="s">
        <v>25</v>
      </c>
      <c r="F102" s="17" t="s">
        <v>25</v>
      </c>
      <c r="G102" s="17" t="s">
        <v>25</v>
      </c>
      <c r="H102" s="3" t="s">
        <v>25</v>
      </c>
      <c r="I102" s="17"/>
      <c r="J102" s="17"/>
    </row>
    <row r="103" spans="1:10" ht="207.75" customHeight="1" x14ac:dyDescent="0.25">
      <c r="A103" s="9" t="str">
        <f>IF(AND(D103="",D103=""),"",$D$3&amp;"_"&amp;ROW()-13-COUNTBLANK($D$14:D103))</f>
        <v>Up_DB_65</v>
      </c>
      <c r="B103" s="37"/>
      <c r="C103" s="26" t="s">
        <v>170</v>
      </c>
      <c r="D103" s="16" t="s">
        <v>149</v>
      </c>
      <c r="E103" s="17" t="s">
        <v>251</v>
      </c>
      <c r="F103" s="17" t="s">
        <v>25</v>
      </c>
      <c r="G103" s="17" t="s">
        <v>25</v>
      </c>
      <c r="H103" s="3" t="s">
        <v>25</v>
      </c>
      <c r="I103" s="17" t="s">
        <v>249</v>
      </c>
      <c r="J103" s="17"/>
    </row>
    <row r="104" spans="1:10" ht="15.75" customHeight="1" x14ac:dyDescent="0.25">
      <c r="A104" s="31"/>
      <c r="B104" s="38" t="s">
        <v>161</v>
      </c>
      <c r="C104" s="39"/>
      <c r="D104" s="39"/>
      <c r="E104" s="39"/>
      <c r="F104" s="39"/>
      <c r="G104" s="39"/>
      <c r="H104" s="39"/>
      <c r="I104" s="39"/>
      <c r="J104" s="40"/>
    </row>
    <row r="105" spans="1:10" ht="15.75" customHeight="1" x14ac:dyDescent="0.25">
      <c r="A105" s="32"/>
      <c r="B105" s="33" t="s">
        <v>151</v>
      </c>
      <c r="C105" s="34"/>
      <c r="D105" s="34"/>
      <c r="E105" s="34"/>
      <c r="F105" s="34"/>
      <c r="G105" s="34"/>
      <c r="H105" s="34"/>
      <c r="I105" s="34"/>
      <c r="J105" s="35"/>
    </row>
    <row r="106" spans="1:10" ht="238.5" customHeight="1" x14ac:dyDescent="0.25">
      <c r="A106" s="9" t="str">
        <f>IF(AND(D106="",D106=""),"",$D$3&amp;"_"&amp;ROW()-13-COUNTBLANK($D$14:D106))</f>
        <v>Up_DB_66</v>
      </c>
      <c r="B106" s="20" t="s">
        <v>172</v>
      </c>
      <c r="C106" s="16" t="s">
        <v>173</v>
      </c>
      <c r="D106" s="16" t="s">
        <v>153</v>
      </c>
      <c r="E106" s="17" t="s">
        <v>25</v>
      </c>
      <c r="F106" s="17" t="s">
        <v>25</v>
      </c>
      <c r="G106" s="17" t="s">
        <v>25</v>
      </c>
      <c r="H106" s="3" t="s">
        <v>25</v>
      </c>
      <c r="I106" s="17"/>
      <c r="J106" s="36" t="s">
        <v>169</v>
      </c>
    </row>
    <row r="107" spans="1:10" ht="301.5" customHeight="1" x14ac:dyDescent="0.25">
      <c r="A107" s="9" t="str">
        <f>IF(AND(D107="",D107=""),"",$D$3&amp;"_"&amp;ROW()-13-COUNTBLANK($D$14:D107))</f>
        <v>Up_DB_67</v>
      </c>
      <c r="B107" s="20" t="s">
        <v>172</v>
      </c>
      <c r="C107" s="16" t="s">
        <v>174</v>
      </c>
      <c r="D107" s="16" t="s">
        <v>153</v>
      </c>
      <c r="E107" s="17" t="s">
        <v>25</v>
      </c>
      <c r="F107" s="17" t="s">
        <v>25</v>
      </c>
      <c r="G107" s="17" t="s">
        <v>25</v>
      </c>
      <c r="H107" s="3" t="s">
        <v>25</v>
      </c>
      <c r="I107" s="17"/>
      <c r="J107" s="37"/>
    </row>
    <row r="108" spans="1:10" x14ac:dyDescent="0.25">
      <c r="A108" s="19"/>
      <c r="B108" s="33" t="s">
        <v>175</v>
      </c>
      <c r="C108" s="34"/>
      <c r="D108" s="34"/>
      <c r="E108" s="34"/>
      <c r="F108" s="34"/>
      <c r="G108" s="34"/>
      <c r="H108" s="34"/>
      <c r="I108" s="34"/>
      <c r="J108" s="35"/>
    </row>
    <row r="109" spans="1:10" ht="239.25" customHeight="1" x14ac:dyDescent="0.25">
      <c r="A109" s="9" t="str">
        <f>IF(AND(D109="",D109=""),"",$D$3&amp;"_"&amp;ROW()-13-COUNTBLANK($D$14:D109))</f>
        <v>Up_DB_68</v>
      </c>
      <c r="B109" s="25" t="s">
        <v>136</v>
      </c>
      <c r="C109" s="27" t="s">
        <v>177</v>
      </c>
      <c r="D109" s="20" t="s">
        <v>178</v>
      </c>
      <c r="E109" s="17" t="s">
        <v>25</v>
      </c>
      <c r="F109" s="17" t="s">
        <v>25</v>
      </c>
      <c r="G109" s="17" t="s">
        <v>25</v>
      </c>
      <c r="H109" s="3" t="s">
        <v>25</v>
      </c>
      <c r="I109" s="25"/>
      <c r="J109" s="36" t="s">
        <v>181</v>
      </c>
    </row>
    <row r="110" spans="1:10" ht="159" customHeight="1" x14ac:dyDescent="0.25">
      <c r="A110" s="9" t="str">
        <f>IF(AND(D110="",D110=""),"",$D$3&amp;"_"&amp;ROW()-13-COUNTBLANK($D$14:D110))</f>
        <v>Up_DB_69</v>
      </c>
      <c r="B110" s="47" t="s">
        <v>137</v>
      </c>
      <c r="C110" s="27" t="s">
        <v>171</v>
      </c>
      <c r="D110" s="20" t="s">
        <v>147</v>
      </c>
      <c r="E110" s="17" t="s">
        <v>25</v>
      </c>
      <c r="F110" s="17" t="s">
        <v>25</v>
      </c>
      <c r="G110" s="17" t="s">
        <v>25</v>
      </c>
      <c r="H110" s="3" t="s">
        <v>25</v>
      </c>
      <c r="I110" s="17"/>
      <c r="J110" s="41"/>
    </row>
    <row r="111" spans="1:10" ht="145.5" customHeight="1" x14ac:dyDescent="0.25">
      <c r="A111" s="9" t="str">
        <f>IF(AND(D111="",D111=""),"",$D$3&amp;"_"&amp;ROW()-13-COUNTBLANK($D$14:D111))</f>
        <v>Up_DB_70</v>
      </c>
      <c r="B111" s="49"/>
      <c r="C111" s="20" t="s">
        <v>176</v>
      </c>
      <c r="D111" s="20" t="s">
        <v>179</v>
      </c>
      <c r="E111" s="17" t="s">
        <v>25</v>
      </c>
      <c r="F111" s="17" t="s">
        <v>25</v>
      </c>
      <c r="G111" s="17" t="s">
        <v>25</v>
      </c>
      <c r="H111" s="3" t="s">
        <v>25</v>
      </c>
      <c r="I111" s="25"/>
      <c r="J111" s="37"/>
    </row>
    <row r="112" spans="1:10" ht="15.75" customHeight="1" x14ac:dyDescent="0.25">
      <c r="A112" s="42"/>
      <c r="B112" s="38" t="s">
        <v>162</v>
      </c>
      <c r="C112" s="39"/>
      <c r="D112" s="39"/>
      <c r="E112" s="39"/>
      <c r="F112" s="39"/>
      <c r="G112" s="39"/>
      <c r="H112" s="39"/>
      <c r="I112" s="39"/>
      <c r="J112" s="40"/>
    </row>
    <row r="113" spans="1:10" x14ac:dyDescent="0.25">
      <c r="A113" s="43"/>
      <c r="B113" s="33" t="s">
        <v>184</v>
      </c>
      <c r="C113" s="34"/>
      <c r="D113" s="34"/>
      <c r="E113" s="34"/>
      <c r="F113" s="34"/>
      <c r="G113" s="34"/>
      <c r="H113" s="34"/>
      <c r="I113" s="34"/>
      <c r="J113" s="35"/>
    </row>
    <row r="114" spans="1:10" ht="110.25" x14ac:dyDescent="0.25">
      <c r="A114" s="9" t="str">
        <f>IF(AND(D114="",D114=""),"",$D$3&amp;"_"&amp;ROW()-13-COUNTBLANK($D$14:D114))</f>
        <v>Up_DB_71</v>
      </c>
      <c r="B114" s="36" t="s">
        <v>182</v>
      </c>
      <c r="C114" s="16" t="s">
        <v>189</v>
      </c>
      <c r="D114" s="16" t="s">
        <v>187</v>
      </c>
      <c r="E114" s="17" t="s">
        <v>25</v>
      </c>
      <c r="F114" s="17" t="s">
        <v>25</v>
      </c>
      <c r="G114" s="17" t="s">
        <v>25</v>
      </c>
      <c r="H114" s="3" t="s">
        <v>25</v>
      </c>
      <c r="I114" s="17"/>
      <c r="J114" s="17"/>
    </row>
    <row r="115" spans="1:10" ht="94.5" x14ac:dyDescent="0.25">
      <c r="A115" s="9" t="str">
        <f>IF(AND(D115="",D115=""),"",$D$3&amp;"_"&amp;ROW()-13-COUNTBLANK($D$14:D115))</f>
        <v>Up_DB_72</v>
      </c>
      <c r="B115" s="41"/>
      <c r="C115" s="16" t="s">
        <v>185</v>
      </c>
      <c r="D115" s="16" t="s">
        <v>187</v>
      </c>
      <c r="E115" s="17" t="s">
        <v>25</v>
      </c>
      <c r="F115" s="17" t="s">
        <v>25</v>
      </c>
      <c r="G115" s="17" t="s">
        <v>25</v>
      </c>
      <c r="H115" s="3" t="s">
        <v>25</v>
      </c>
      <c r="I115" s="17"/>
      <c r="J115" s="17"/>
    </row>
    <row r="116" spans="1:10" ht="94.5" x14ac:dyDescent="0.25">
      <c r="A116" s="9" t="str">
        <f>IF(AND(D116="",D116=""),"",$D$3&amp;"_"&amp;ROW()-13-COUNTBLANK($D$14:D116))</f>
        <v>Up_DB_73</v>
      </c>
      <c r="B116" s="37"/>
      <c r="C116" s="16" t="s">
        <v>186</v>
      </c>
      <c r="D116" s="16" t="s">
        <v>187</v>
      </c>
      <c r="E116" s="17" t="s">
        <v>25</v>
      </c>
      <c r="F116" s="17" t="s">
        <v>25</v>
      </c>
      <c r="G116" s="17" t="s">
        <v>25</v>
      </c>
      <c r="H116" s="3" t="s">
        <v>25</v>
      </c>
      <c r="I116" s="17"/>
      <c r="J116" s="17"/>
    </row>
    <row r="117" spans="1:10" ht="236.25" x14ac:dyDescent="0.25">
      <c r="A117" s="9" t="str">
        <f>IF(AND(D117="",D117=""),"",$D$3&amp;"_"&amp;ROW()-13-COUNTBLANK($D$14:D117))</f>
        <v>Up_DB_74</v>
      </c>
      <c r="B117" s="36" t="s">
        <v>239</v>
      </c>
      <c r="C117" s="16" t="s">
        <v>188</v>
      </c>
      <c r="D117" s="16" t="s">
        <v>183</v>
      </c>
      <c r="E117" s="17" t="s">
        <v>25</v>
      </c>
      <c r="F117" s="17" t="s">
        <v>25</v>
      </c>
      <c r="G117" s="17" t="s">
        <v>25</v>
      </c>
      <c r="H117" s="3" t="s">
        <v>25</v>
      </c>
      <c r="I117" s="17"/>
      <c r="J117" s="17"/>
    </row>
    <row r="118" spans="1:10" ht="236.25" x14ac:dyDescent="0.25">
      <c r="A118" s="9" t="str">
        <f>IF(AND(D118="",D118=""),"",$D$3&amp;"_"&amp;ROW()-13-COUNTBLANK($D$14:D118))</f>
        <v>Up_DB_75</v>
      </c>
      <c r="B118" s="41"/>
      <c r="C118" s="16" t="s">
        <v>190</v>
      </c>
      <c r="D118" s="16" t="s">
        <v>183</v>
      </c>
      <c r="E118" s="17" t="s">
        <v>251</v>
      </c>
      <c r="F118" s="17" t="s">
        <v>25</v>
      </c>
      <c r="G118" s="17" t="s">
        <v>25</v>
      </c>
      <c r="H118" s="3" t="s">
        <v>25</v>
      </c>
      <c r="I118" s="17" t="s">
        <v>252</v>
      </c>
      <c r="J118" s="17"/>
    </row>
    <row r="119" spans="1:10" ht="252" customHeight="1" x14ac:dyDescent="0.25">
      <c r="A119" s="9" t="str">
        <f>IF(AND(D119="",D119=""),"",$D$3&amp;"_"&amp;ROW()-13-COUNTBLANK($D$14:D119))</f>
        <v>Up_DB_76</v>
      </c>
      <c r="B119" s="37"/>
      <c r="C119" s="16" t="s">
        <v>191</v>
      </c>
      <c r="D119" s="16" t="s">
        <v>183</v>
      </c>
      <c r="E119" s="17" t="s">
        <v>25</v>
      </c>
      <c r="F119" s="17" t="s">
        <v>25</v>
      </c>
      <c r="G119" s="17" t="s">
        <v>25</v>
      </c>
      <c r="H119" s="3" t="s">
        <v>25</v>
      </c>
      <c r="I119" s="17"/>
      <c r="J119" s="17"/>
    </row>
    <row r="120" spans="1:10" ht="15.75" customHeight="1" x14ac:dyDescent="0.25">
      <c r="A120" s="42"/>
      <c r="B120" s="38" t="s">
        <v>163</v>
      </c>
      <c r="C120" s="39"/>
      <c r="D120" s="39"/>
      <c r="E120" s="39"/>
      <c r="F120" s="39"/>
      <c r="G120" s="39"/>
      <c r="H120" s="39"/>
      <c r="I120" s="39"/>
      <c r="J120" s="40"/>
    </row>
    <row r="121" spans="1:10" x14ac:dyDescent="0.25">
      <c r="A121" s="43"/>
      <c r="B121" s="33" t="s">
        <v>184</v>
      </c>
      <c r="C121" s="34"/>
      <c r="D121" s="34"/>
      <c r="E121" s="34"/>
      <c r="F121" s="34"/>
      <c r="G121" s="34"/>
      <c r="H121" s="34"/>
      <c r="I121" s="34"/>
      <c r="J121" s="35"/>
    </row>
    <row r="122" spans="1:10" ht="141.75" x14ac:dyDescent="0.25">
      <c r="A122" s="9" t="str">
        <f>IF(AND(D122="",D122=""),"",$D$3&amp;"_"&amp;ROW()-13-COUNTBLANK($D$14:D122))</f>
        <v>Up_DB_77</v>
      </c>
      <c r="B122" s="36" t="s">
        <v>195</v>
      </c>
      <c r="C122" s="16" t="s">
        <v>140</v>
      </c>
      <c r="D122" s="16" t="s">
        <v>138</v>
      </c>
      <c r="E122" s="17" t="s">
        <v>251</v>
      </c>
      <c r="F122" s="17" t="s">
        <v>25</v>
      </c>
      <c r="G122" s="17" t="s">
        <v>25</v>
      </c>
      <c r="H122" s="3" t="s">
        <v>25</v>
      </c>
      <c r="I122" s="17" t="s">
        <v>250</v>
      </c>
      <c r="J122" s="17"/>
    </row>
    <row r="123" spans="1:10" ht="189" x14ac:dyDescent="0.25">
      <c r="A123" s="9" t="str">
        <f>IF(AND(D123="",D123=""),"",$D$3&amp;"_"&amp;ROW()-13-COUNTBLANK($D$14:D123))</f>
        <v>Up_DB_78</v>
      </c>
      <c r="B123" s="37"/>
      <c r="C123" s="16" t="s">
        <v>198</v>
      </c>
      <c r="D123" s="16" t="s">
        <v>199</v>
      </c>
      <c r="E123" s="17" t="s">
        <v>25</v>
      </c>
      <c r="F123" s="17" t="s">
        <v>25</v>
      </c>
      <c r="G123" s="17" t="s">
        <v>25</v>
      </c>
      <c r="H123" s="3" t="s">
        <v>25</v>
      </c>
      <c r="I123" s="17"/>
      <c r="J123" s="17"/>
    </row>
    <row r="124" spans="1:10" ht="126" x14ac:dyDescent="0.25">
      <c r="A124" s="9" t="str">
        <f>IF(AND(D124="",D124=""),"",$D$3&amp;"_"&amp;ROW()-13-COUNTBLANK($D$14:D124))</f>
        <v>Up_DB_79</v>
      </c>
      <c r="B124" s="69" t="s">
        <v>196</v>
      </c>
      <c r="C124" s="16" t="s">
        <v>197</v>
      </c>
      <c r="D124" s="16" t="s">
        <v>142</v>
      </c>
      <c r="E124" s="17" t="s">
        <v>25</v>
      </c>
      <c r="F124" s="17" t="s">
        <v>25</v>
      </c>
      <c r="G124" s="17" t="s">
        <v>25</v>
      </c>
      <c r="H124" s="3" t="s">
        <v>25</v>
      </c>
      <c r="I124" s="17"/>
      <c r="J124" s="17"/>
    </row>
    <row r="125" spans="1:10" ht="110.25" x14ac:dyDescent="0.25">
      <c r="A125" s="9" t="str">
        <f>IF(AND(D125="",D125=""),"",$D$3&amp;"_"&amp;ROW()-13-COUNTBLANK($D$14:D125))</f>
        <v>Up_DB_80</v>
      </c>
      <c r="B125" s="70"/>
      <c r="C125" s="26" t="s">
        <v>194</v>
      </c>
      <c r="D125" s="16" t="s">
        <v>144</v>
      </c>
      <c r="E125" s="17" t="s">
        <v>25</v>
      </c>
      <c r="F125" s="17" t="s">
        <v>25</v>
      </c>
      <c r="G125" s="17" t="s">
        <v>25</v>
      </c>
      <c r="H125" s="3" t="s">
        <v>25</v>
      </c>
      <c r="I125" s="17"/>
      <c r="J125" s="17"/>
    </row>
    <row r="126" spans="1:10" ht="189" x14ac:dyDescent="0.25">
      <c r="A126" s="9" t="str">
        <f>IF(AND(D126="",D126=""),"",$D$3&amp;"_"&amp;ROW()-13-COUNTBLANK($D$14:D126))</f>
        <v>Up_DB_81</v>
      </c>
      <c r="B126" s="70"/>
      <c r="C126" s="27" t="s">
        <v>209</v>
      </c>
      <c r="D126" s="16" t="s">
        <v>146</v>
      </c>
      <c r="E126" s="17" t="s">
        <v>25</v>
      </c>
      <c r="F126" s="17" t="s">
        <v>25</v>
      </c>
      <c r="G126" s="17" t="s">
        <v>25</v>
      </c>
      <c r="H126" s="3" t="s">
        <v>25</v>
      </c>
      <c r="I126" s="17"/>
      <c r="J126" s="17"/>
    </row>
    <row r="127" spans="1:10" ht="157.5" x14ac:dyDescent="0.25">
      <c r="A127" s="9" t="str">
        <f>IF(AND(D127="",D127=""),"",$D$3&amp;"_"&amp;ROW()-13-COUNTBLANK($D$14:D127))</f>
        <v>Up_DB_82</v>
      </c>
      <c r="B127" s="70"/>
      <c r="C127" s="16" t="s">
        <v>201</v>
      </c>
      <c r="D127" s="16" t="s">
        <v>200</v>
      </c>
      <c r="E127" s="17" t="s">
        <v>25</v>
      </c>
      <c r="F127" s="17" t="s">
        <v>25</v>
      </c>
      <c r="G127" s="17" t="s">
        <v>25</v>
      </c>
      <c r="H127" s="3" t="s">
        <v>25</v>
      </c>
      <c r="I127" s="17"/>
      <c r="J127" s="17"/>
    </row>
    <row r="128" spans="1:10" ht="157.5" x14ac:dyDescent="0.25">
      <c r="A128" s="9" t="str">
        <f>IF(AND(D128="",D128=""),"",$D$3&amp;"_"&amp;ROW()-13-COUNTBLANK($D$14:D128))</f>
        <v>Up_DB_83</v>
      </c>
      <c r="B128" s="71"/>
      <c r="C128" s="16" t="s">
        <v>202</v>
      </c>
      <c r="D128" s="16" t="s">
        <v>200</v>
      </c>
      <c r="E128" s="17" t="s">
        <v>25</v>
      </c>
      <c r="F128" s="17" t="s">
        <v>25</v>
      </c>
      <c r="G128" s="17" t="s">
        <v>25</v>
      </c>
      <c r="H128" s="3" t="s">
        <v>25</v>
      </c>
      <c r="I128" s="17"/>
      <c r="J128" s="17"/>
    </row>
    <row r="129" spans="1:10" ht="15.75" customHeight="1" x14ac:dyDescent="0.25">
      <c r="A129" s="19"/>
      <c r="B129" s="38" t="s">
        <v>164</v>
      </c>
      <c r="C129" s="39"/>
      <c r="D129" s="39"/>
      <c r="E129" s="39"/>
      <c r="F129" s="39"/>
      <c r="G129" s="39"/>
      <c r="H129" s="39"/>
      <c r="I129" s="39"/>
      <c r="J129" s="40"/>
    </row>
    <row r="130" spans="1:10" ht="157.5" x14ac:dyDescent="0.25">
      <c r="A130" s="9" t="str">
        <f>IF(AND(D130="",D130=""),"",$D$3&amp;"_"&amp;ROW()-13-COUNTBLANK($D$14:D130))</f>
        <v>Up_DB_84</v>
      </c>
      <c r="B130" s="36" t="s">
        <v>225</v>
      </c>
      <c r="C130" s="16" t="s">
        <v>226</v>
      </c>
      <c r="D130" s="16" t="s">
        <v>227</v>
      </c>
      <c r="E130" s="17" t="s">
        <v>25</v>
      </c>
      <c r="F130" s="17" t="s">
        <v>25</v>
      </c>
      <c r="G130" s="17" t="s">
        <v>25</v>
      </c>
      <c r="H130" s="3" t="s">
        <v>25</v>
      </c>
      <c r="I130" s="17"/>
      <c r="J130" s="17"/>
    </row>
    <row r="131" spans="1:10" ht="157.5" x14ac:dyDescent="0.25">
      <c r="A131" s="9" t="str">
        <f>IF(AND(D131="",D131=""),"",$D$3&amp;"_"&amp;ROW()-13-COUNTBLANK($D$14:D131))</f>
        <v>Up_DB_85</v>
      </c>
      <c r="B131" s="37"/>
      <c r="C131" s="16" t="s">
        <v>228</v>
      </c>
      <c r="D131" s="16" t="s">
        <v>229</v>
      </c>
      <c r="E131" s="17" t="s">
        <v>25</v>
      </c>
      <c r="F131" s="17" t="s">
        <v>25</v>
      </c>
      <c r="G131" s="17" t="s">
        <v>25</v>
      </c>
      <c r="H131" s="3" t="s">
        <v>25</v>
      </c>
      <c r="I131" s="17"/>
      <c r="J131" s="17"/>
    </row>
    <row r="132" spans="1:10" ht="157.5" x14ac:dyDescent="0.25">
      <c r="A132" s="9" t="str">
        <f>IF(AND(D132="",D132=""),"",$D$3&amp;"_"&amp;ROW()-13-COUNTBLANK($D$14:D132))</f>
        <v>Up_DB_86</v>
      </c>
      <c r="B132" s="36" t="s">
        <v>230</v>
      </c>
      <c r="C132" s="16" t="s">
        <v>226</v>
      </c>
      <c r="D132" s="16" t="s">
        <v>231</v>
      </c>
      <c r="E132" s="17" t="s">
        <v>25</v>
      </c>
      <c r="F132" s="17" t="s">
        <v>25</v>
      </c>
      <c r="G132" s="17" t="s">
        <v>25</v>
      </c>
      <c r="H132" s="3" t="s">
        <v>25</v>
      </c>
      <c r="I132" s="17"/>
      <c r="J132" s="17"/>
    </row>
    <row r="133" spans="1:10" ht="157.5" x14ac:dyDescent="0.25">
      <c r="A133" s="9" t="str">
        <f>IF(AND(D133="",D133=""),"",$D$3&amp;"_"&amp;ROW()-13-COUNTBLANK($D$14:D133))</f>
        <v>Up_DB_87</v>
      </c>
      <c r="B133" s="37"/>
      <c r="C133" s="16" t="s">
        <v>228</v>
      </c>
      <c r="D133" s="16" t="s">
        <v>232</v>
      </c>
      <c r="E133" s="17" t="s">
        <v>25</v>
      </c>
      <c r="F133" s="17" t="s">
        <v>25</v>
      </c>
      <c r="G133" s="17" t="s">
        <v>25</v>
      </c>
      <c r="H133" s="3" t="s">
        <v>25</v>
      </c>
      <c r="I133" s="17"/>
      <c r="J133" s="17"/>
    </row>
    <row r="134" spans="1:10" ht="121.5" customHeight="1" x14ac:dyDescent="0.25">
      <c r="A134" s="9" t="str">
        <f>IF(AND(D134="",D134=""),"",$D$3&amp;"_"&amp;ROW()-13-COUNTBLANK($D$14:D134))</f>
        <v>Up_DB_88</v>
      </c>
      <c r="B134" s="16" t="s">
        <v>233</v>
      </c>
      <c r="C134" s="16" t="s">
        <v>235</v>
      </c>
      <c r="D134" s="16" t="s">
        <v>234</v>
      </c>
      <c r="E134" s="17" t="s">
        <v>25</v>
      </c>
      <c r="F134" s="17" t="s">
        <v>25</v>
      </c>
      <c r="G134" s="17" t="s">
        <v>25</v>
      </c>
      <c r="H134" s="3" t="s">
        <v>25</v>
      </c>
      <c r="I134" s="17"/>
      <c r="J134" s="17"/>
    </row>
    <row r="135" spans="1:10" ht="154.5" customHeight="1" x14ac:dyDescent="0.25">
      <c r="A135" s="9" t="str">
        <f>IF(AND(D135="",D135=""),"",$D$3&amp;"_"&amp;ROW()-13-COUNTBLANK($D$14:D135))</f>
        <v>Up_DB_89</v>
      </c>
      <c r="B135" s="16" t="s">
        <v>241</v>
      </c>
      <c r="C135" s="16" t="s">
        <v>243</v>
      </c>
      <c r="D135" s="16" t="s">
        <v>242</v>
      </c>
      <c r="E135" s="17" t="s">
        <v>25</v>
      </c>
      <c r="F135" s="17" t="s">
        <v>25</v>
      </c>
      <c r="G135" s="17" t="s">
        <v>25</v>
      </c>
      <c r="H135" s="3" t="s">
        <v>25</v>
      </c>
      <c r="I135" s="17"/>
      <c r="J135" s="17"/>
    </row>
    <row r="136" spans="1:10" ht="15.75" customHeight="1" x14ac:dyDescent="0.25">
      <c r="A136" s="19"/>
      <c r="B136" s="38" t="s">
        <v>165</v>
      </c>
      <c r="C136" s="39"/>
      <c r="D136" s="39"/>
      <c r="E136" s="39"/>
      <c r="F136" s="39"/>
      <c r="G136" s="39"/>
      <c r="H136" s="39"/>
      <c r="I136" s="39"/>
      <c r="J136" s="40"/>
    </row>
    <row r="137" spans="1:10" ht="126" x14ac:dyDescent="0.25">
      <c r="A137" s="9" t="str">
        <f>IF(AND(D137="",D137=""),"",$D$3&amp;"_"&amp;ROW()-13-COUNTBLANK($D$14:D137))</f>
        <v>Up_DB_90</v>
      </c>
      <c r="B137" s="16" t="s">
        <v>244</v>
      </c>
      <c r="C137" s="16" t="s">
        <v>245</v>
      </c>
      <c r="D137" s="16" t="s">
        <v>246</v>
      </c>
      <c r="E137" s="17" t="s">
        <v>25</v>
      </c>
      <c r="F137" s="17" t="s">
        <v>25</v>
      </c>
      <c r="G137" s="17" t="s">
        <v>25</v>
      </c>
      <c r="H137" s="3" t="s">
        <v>25</v>
      </c>
      <c r="I137" s="17"/>
      <c r="J137" s="17"/>
    </row>
    <row r="138" spans="1:10" ht="189" x14ac:dyDescent="0.25">
      <c r="A138" s="9" t="str">
        <f>IF(AND(D138="",D138=""),"",$D$3&amp;"_"&amp;ROW()-13-COUNTBLANK($D$14:D138))</f>
        <v>Up_DB_91</v>
      </c>
      <c r="B138" s="16" t="s">
        <v>240</v>
      </c>
      <c r="C138" s="16" t="s">
        <v>247</v>
      </c>
      <c r="D138" s="16" t="s">
        <v>248</v>
      </c>
      <c r="E138" s="17" t="s">
        <v>25</v>
      </c>
      <c r="F138" s="17" t="s">
        <v>25</v>
      </c>
      <c r="G138" s="17" t="s">
        <v>25</v>
      </c>
      <c r="H138" s="3" t="s">
        <v>25</v>
      </c>
      <c r="I138" s="17"/>
      <c r="J138" s="17"/>
    </row>
    <row r="139" spans="1:10" x14ac:dyDescent="0.25">
      <c r="A139" s="9"/>
      <c r="B139" s="16"/>
      <c r="C139" s="16"/>
      <c r="D139" s="16"/>
      <c r="E139" s="17"/>
      <c r="F139" s="17"/>
      <c r="G139" s="17"/>
      <c r="H139" s="3"/>
      <c r="I139" s="17"/>
      <c r="J139" s="17"/>
    </row>
    <row r="140" spans="1:10" x14ac:dyDescent="0.25">
      <c r="A140" s="9"/>
      <c r="B140" s="16"/>
      <c r="C140" s="16"/>
      <c r="D140" s="16"/>
      <c r="E140" s="17"/>
      <c r="F140" s="17"/>
      <c r="G140" s="17"/>
      <c r="H140" s="3"/>
      <c r="I140" s="17"/>
      <c r="J140" s="17"/>
    </row>
    <row r="141" spans="1:10" x14ac:dyDescent="0.25">
      <c r="A141" s="9"/>
      <c r="B141" s="16"/>
      <c r="C141" s="16"/>
      <c r="D141" s="16"/>
      <c r="E141" s="17"/>
      <c r="F141" s="17"/>
      <c r="G141" s="17"/>
      <c r="H141" s="3"/>
      <c r="I141" s="17"/>
      <c r="J141" s="17"/>
    </row>
  </sheetData>
  <dataConsolidate/>
  <mergeCells count="68">
    <mergeCell ref="B136:J136"/>
    <mergeCell ref="B108:J108"/>
    <mergeCell ref="B110:B111"/>
    <mergeCell ref="B105:J105"/>
    <mergeCell ref="J106:J107"/>
    <mergeCell ref="J109:J111"/>
    <mergeCell ref="B113:J113"/>
    <mergeCell ref="B114:B116"/>
    <mergeCell ref="B124:B128"/>
    <mergeCell ref="B112:J112"/>
    <mergeCell ref="B120:J120"/>
    <mergeCell ref="B129:J129"/>
    <mergeCell ref="B117:B119"/>
    <mergeCell ref="B121:J121"/>
    <mergeCell ref="B122:B123"/>
    <mergeCell ref="A64:A65"/>
    <mergeCell ref="B76:J76"/>
    <mergeCell ref="A75:A76"/>
    <mergeCell ref="B77:B78"/>
    <mergeCell ref="J77:J79"/>
    <mergeCell ref="B48:J48"/>
    <mergeCell ref="B45:J45"/>
    <mergeCell ref="B42:J42"/>
    <mergeCell ref="B102:B103"/>
    <mergeCell ref="B71:J71"/>
    <mergeCell ref="J81:J96"/>
    <mergeCell ref="B98:B99"/>
    <mergeCell ref="B100:B101"/>
    <mergeCell ref="H10:H11"/>
    <mergeCell ref="B17:J17"/>
    <mergeCell ref="B18:J18"/>
    <mergeCell ref="E10:G10"/>
    <mergeCell ref="I10:I11"/>
    <mergeCell ref="J10:J11"/>
    <mergeCell ref="A17:A19"/>
    <mergeCell ref="A12:A13"/>
    <mergeCell ref="B15:J15"/>
    <mergeCell ref="B12:J13"/>
    <mergeCell ref="B65:J65"/>
    <mergeCell ref="B41:J41"/>
    <mergeCell ref="B38:J38"/>
    <mergeCell ref="B34:J34"/>
    <mergeCell ref="B29:J29"/>
    <mergeCell ref="B25:J25"/>
    <mergeCell ref="B22:J22"/>
    <mergeCell ref="B19:J19"/>
    <mergeCell ref="A41:A42"/>
    <mergeCell ref="B64:J64"/>
    <mergeCell ref="B57:J57"/>
    <mergeCell ref="B52:J52"/>
    <mergeCell ref="C1:D1"/>
    <mergeCell ref="A10:A11"/>
    <mergeCell ref="B10:B11"/>
    <mergeCell ref="C10:C11"/>
    <mergeCell ref="D10:D11"/>
    <mergeCell ref="A104:A105"/>
    <mergeCell ref="B66:J66"/>
    <mergeCell ref="B68:J68"/>
    <mergeCell ref="B130:B131"/>
    <mergeCell ref="B132:B133"/>
    <mergeCell ref="B80:J80"/>
    <mergeCell ref="B75:J75"/>
    <mergeCell ref="B97:J97"/>
    <mergeCell ref="B81:B89"/>
    <mergeCell ref="B90:B96"/>
    <mergeCell ref="B104:J104"/>
    <mergeCell ref="A112:A113"/>
    <mergeCell ref="A120:A121"/>
  </mergeCells>
  <conditionalFormatting sqref="E14:G14">
    <cfRule type="cellIs" dxfId="155" priority="342" operator="equal">
      <formula>"P"</formula>
    </cfRule>
    <cfRule type="cellIs" dxfId="154" priority="341" operator="equal">
      <formula>"F"</formula>
    </cfRule>
    <cfRule type="cellIs" dxfId="153" priority="340" operator="equal">
      <formula>"PE"</formula>
    </cfRule>
  </conditionalFormatting>
  <conditionalFormatting sqref="E16:G16">
    <cfRule type="cellIs" dxfId="152" priority="330" operator="equal">
      <formula>"P"</formula>
    </cfRule>
    <cfRule type="cellIs" dxfId="151" priority="329" operator="equal">
      <formula>"F"</formula>
    </cfRule>
    <cfRule type="cellIs" dxfId="150" priority="328" operator="equal">
      <formula>"PE"</formula>
    </cfRule>
  </conditionalFormatting>
  <conditionalFormatting sqref="E20:G21">
    <cfRule type="cellIs" dxfId="149" priority="774" operator="equal">
      <formula>"P"</formula>
    </cfRule>
    <cfRule type="cellIs" dxfId="148" priority="773" operator="equal">
      <formula>"F"</formula>
    </cfRule>
    <cfRule type="cellIs" dxfId="147" priority="772" operator="equal">
      <formula>"PE"</formula>
    </cfRule>
  </conditionalFormatting>
  <conditionalFormatting sqref="E23:G24">
    <cfRule type="cellIs" dxfId="146" priority="750" operator="equal">
      <formula>"P"</formula>
    </cfRule>
    <cfRule type="cellIs" dxfId="145" priority="749" operator="equal">
      <formula>"F"</formula>
    </cfRule>
    <cfRule type="cellIs" dxfId="144" priority="748" operator="equal">
      <formula>"PE"</formula>
    </cfRule>
  </conditionalFormatting>
  <conditionalFormatting sqref="E26:G28">
    <cfRule type="cellIs" dxfId="143" priority="712" operator="equal">
      <formula>"PE"</formula>
    </cfRule>
    <cfRule type="cellIs" dxfId="142" priority="714" operator="equal">
      <formula>"P"</formula>
    </cfRule>
    <cfRule type="cellIs" dxfId="141" priority="713" operator="equal">
      <formula>"F"</formula>
    </cfRule>
  </conditionalFormatting>
  <conditionalFormatting sqref="E30:G33">
    <cfRule type="cellIs" dxfId="140" priority="653" operator="equal">
      <formula>"F"</formula>
    </cfRule>
    <cfRule type="cellIs" dxfId="139" priority="652" operator="equal">
      <formula>"PE"</formula>
    </cfRule>
    <cfRule type="cellIs" dxfId="138" priority="654" operator="equal">
      <formula>"P"</formula>
    </cfRule>
  </conditionalFormatting>
  <conditionalFormatting sqref="E35:G37">
    <cfRule type="cellIs" dxfId="137" priority="616" operator="equal">
      <formula>"PE"</formula>
    </cfRule>
    <cfRule type="cellIs" dxfId="136" priority="617" operator="equal">
      <formula>"F"</formula>
    </cfRule>
    <cfRule type="cellIs" dxfId="135" priority="618" operator="equal">
      <formula>"P"</formula>
    </cfRule>
  </conditionalFormatting>
  <conditionalFormatting sqref="E39:G40">
    <cfRule type="cellIs" dxfId="134" priority="593" operator="equal">
      <formula>"F"</formula>
    </cfRule>
    <cfRule type="cellIs" dxfId="133" priority="594" operator="equal">
      <formula>"P"</formula>
    </cfRule>
    <cfRule type="cellIs" dxfId="132" priority="592" operator="equal">
      <formula>"PE"</formula>
    </cfRule>
  </conditionalFormatting>
  <conditionalFormatting sqref="E43:G44">
    <cfRule type="cellIs" dxfId="131" priority="570" operator="equal">
      <formula>"P"</formula>
    </cfRule>
    <cfRule type="cellIs" dxfId="130" priority="568" operator="equal">
      <formula>"PE"</formula>
    </cfRule>
    <cfRule type="cellIs" dxfId="129" priority="569" operator="equal">
      <formula>"F"</formula>
    </cfRule>
  </conditionalFormatting>
  <conditionalFormatting sqref="E46:G47">
    <cfRule type="cellIs" dxfId="128" priority="545" operator="equal">
      <formula>"F"</formula>
    </cfRule>
    <cfRule type="cellIs" dxfId="127" priority="546" operator="equal">
      <formula>"P"</formula>
    </cfRule>
    <cfRule type="cellIs" dxfId="126" priority="544" operator="equal">
      <formula>"PE"</formula>
    </cfRule>
  </conditionalFormatting>
  <conditionalFormatting sqref="E49:G51">
    <cfRule type="cellIs" dxfId="125" priority="508" operator="equal">
      <formula>"PE"</formula>
    </cfRule>
    <cfRule type="cellIs" dxfId="124" priority="510" operator="equal">
      <formula>"P"</formula>
    </cfRule>
    <cfRule type="cellIs" dxfId="123" priority="509" operator="equal">
      <formula>"F"</formula>
    </cfRule>
  </conditionalFormatting>
  <conditionalFormatting sqref="E53:G56">
    <cfRule type="cellIs" dxfId="122" priority="462" operator="equal">
      <formula>"P"</formula>
    </cfRule>
    <cfRule type="cellIs" dxfId="121" priority="461" operator="equal">
      <formula>"F"</formula>
    </cfRule>
    <cfRule type="cellIs" dxfId="120" priority="460" operator="equal">
      <formula>"PE"</formula>
    </cfRule>
  </conditionalFormatting>
  <conditionalFormatting sqref="E58:G60">
    <cfRule type="cellIs" dxfId="119" priority="424" operator="equal">
      <formula>"PE"</formula>
    </cfRule>
    <cfRule type="cellIs" dxfId="118" priority="426" operator="equal">
      <formula>"P"</formula>
    </cfRule>
    <cfRule type="cellIs" dxfId="117" priority="425" operator="equal">
      <formula>"F"</formula>
    </cfRule>
  </conditionalFormatting>
  <conditionalFormatting sqref="E62:G63">
    <cfRule type="cellIs" dxfId="116" priority="402" operator="equal">
      <formula>"P"</formula>
    </cfRule>
    <cfRule type="cellIs" dxfId="115" priority="401" operator="equal">
      <formula>"F"</formula>
    </cfRule>
    <cfRule type="cellIs" dxfId="114" priority="400" operator="equal">
      <formula>"PE"</formula>
    </cfRule>
  </conditionalFormatting>
  <conditionalFormatting sqref="E67:G67">
    <cfRule type="cellIs" dxfId="113" priority="124" operator="equal">
      <formula>"PE"</formula>
    </cfRule>
    <cfRule type="cellIs" dxfId="112" priority="125" operator="equal">
      <formula>"F"</formula>
    </cfRule>
    <cfRule type="cellIs" dxfId="111" priority="126" operator="equal">
      <formula>"P"</formula>
    </cfRule>
  </conditionalFormatting>
  <conditionalFormatting sqref="E69:G70">
    <cfRule type="cellIs" dxfId="110" priority="114" operator="equal">
      <formula>"P"</formula>
    </cfRule>
    <cfRule type="cellIs" dxfId="109" priority="113" operator="equal">
      <formula>"F"</formula>
    </cfRule>
    <cfRule type="cellIs" dxfId="108" priority="112" operator="equal">
      <formula>"PE"</formula>
    </cfRule>
  </conditionalFormatting>
  <conditionalFormatting sqref="E72:G74">
    <cfRule type="cellIs" dxfId="107" priority="100" operator="equal">
      <formula>"PE"</formula>
    </cfRule>
    <cfRule type="cellIs" dxfId="106" priority="101" operator="equal">
      <formula>"F"</formula>
    </cfRule>
    <cfRule type="cellIs" dxfId="105" priority="102" operator="equal">
      <formula>"P"</formula>
    </cfRule>
  </conditionalFormatting>
  <conditionalFormatting sqref="E77:G79">
    <cfRule type="cellIs" dxfId="104" priority="90" operator="equal">
      <formula>"P"</formula>
    </cfRule>
    <cfRule type="cellIs" dxfId="103" priority="89" operator="equal">
      <formula>"F"</formula>
    </cfRule>
    <cfRule type="cellIs" dxfId="102" priority="88" operator="equal">
      <formula>"PE"</formula>
    </cfRule>
  </conditionalFormatting>
  <conditionalFormatting sqref="E81:G96">
    <cfRule type="cellIs" dxfId="101" priority="354" operator="equal">
      <formula>"P"</formula>
    </cfRule>
    <cfRule type="cellIs" dxfId="100" priority="352" operator="equal">
      <formula>"PE"</formula>
    </cfRule>
    <cfRule type="cellIs" dxfId="99" priority="353" operator="equal">
      <formula>"F"</formula>
    </cfRule>
  </conditionalFormatting>
  <conditionalFormatting sqref="E98:G103">
    <cfRule type="cellIs" dxfId="98" priority="78" operator="equal">
      <formula>"P"</formula>
    </cfRule>
    <cfRule type="cellIs" dxfId="97" priority="77" operator="equal">
      <formula>"F"</formula>
    </cfRule>
    <cfRule type="cellIs" dxfId="96" priority="76" operator="equal">
      <formula>"PE"</formula>
    </cfRule>
  </conditionalFormatting>
  <conditionalFormatting sqref="E106:G107">
    <cfRule type="cellIs" dxfId="95" priority="64" operator="equal">
      <formula>"PE"</formula>
    </cfRule>
    <cfRule type="cellIs" dxfId="94" priority="65" operator="equal">
      <formula>"F"</formula>
    </cfRule>
    <cfRule type="cellIs" dxfId="93" priority="66" operator="equal">
      <formula>"P"</formula>
    </cfRule>
  </conditionalFormatting>
  <conditionalFormatting sqref="E109:G111">
    <cfRule type="cellIs" dxfId="92" priority="53" operator="equal">
      <formula>"F"</formula>
    </cfRule>
    <cfRule type="cellIs" dxfId="91" priority="52" operator="equal">
      <formula>"PE"</formula>
    </cfRule>
    <cfRule type="cellIs" dxfId="90" priority="54" operator="equal">
      <formula>"P"</formula>
    </cfRule>
  </conditionalFormatting>
  <conditionalFormatting sqref="E114:G119">
    <cfRule type="cellIs" dxfId="89" priority="42" operator="equal">
      <formula>"P"</formula>
    </cfRule>
    <cfRule type="cellIs" dxfId="88" priority="40" operator="equal">
      <formula>"PE"</formula>
    </cfRule>
    <cfRule type="cellIs" dxfId="87" priority="41" operator="equal">
      <formula>"F"</formula>
    </cfRule>
  </conditionalFormatting>
  <conditionalFormatting sqref="E122:G128">
    <cfRule type="cellIs" dxfId="86" priority="29" operator="equal">
      <formula>"F"</formula>
    </cfRule>
    <cfRule type="cellIs" dxfId="85" priority="30" operator="equal">
      <formula>"P"</formula>
    </cfRule>
    <cfRule type="cellIs" dxfId="84" priority="28" operator="equal">
      <formula>"PE"</formula>
    </cfRule>
  </conditionalFormatting>
  <conditionalFormatting sqref="E130:G135">
    <cfRule type="cellIs" dxfId="83" priority="18" operator="equal">
      <formula>"P"</formula>
    </cfRule>
    <cfRule type="cellIs" dxfId="82" priority="17" operator="equal">
      <formula>"F"</formula>
    </cfRule>
    <cfRule type="cellIs" dxfId="81" priority="16" operator="equal">
      <formula>"PE"</formula>
    </cfRule>
  </conditionalFormatting>
  <conditionalFormatting sqref="E137:G141">
    <cfRule type="cellIs" dxfId="80" priority="4" operator="equal">
      <formula>"PE"</formula>
    </cfRule>
    <cfRule type="cellIs" dxfId="79" priority="5" operator="equal">
      <formula>"F"</formula>
    </cfRule>
    <cfRule type="cellIs" dxfId="78" priority="6" operator="equal">
      <formula>"P"</formula>
    </cfRule>
  </conditionalFormatting>
  <conditionalFormatting sqref="H14">
    <cfRule type="cellIs" dxfId="77" priority="339" operator="equal">
      <formula>"P"</formula>
    </cfRule>
    <cfRule type="cellIs" dxfId="76" priority="337" operator="equal">
      <formula>"PE"</formula>
    </cfRule>
    <cfRule type="cellIs" dxfId="75" priority="338" operator="equal">
      <formula>"F"</formula>
    </cfRule>
  </conditionalFormatting>
  <conditionalFormatting sqref="H16">
    <cfRule type="cellIs" dxfId="74" priority="325" operator="equal">
      <formula>"PE"</formula>
    </cfRule>
    <cfRule type="cellIs" dxfId="73" priority="326" operator="equal">
      <formula>"F"</formula>
    </cfRule>
    <cfRule type="cellIs" dxfId="72" priority="327" operator="equal">
      <formula>"P"</formula>
    </cfRule>
  </conditionalFormatting>
  <conditionalFormatting sqref="H20:H21">
    <cfRule type="cellIs" dxfId="71" priority="769" operator="equal">
      <formula>"PE"</formula>
    </cfRule>
    <cfRule type="cellIs" dxfId="70" priority="770" operator="equal">
      <formula>"F"</formula>
    </cfRule>
    <cfRule type="cellIs" dxfId="69" priority="771" operator="equal">
      <formula>"P"</formula>
    </cfRule>
  </conditionalFormatting>
  <conditionalFormatting sqref="H23:H24">
    <cfRule type="cellIs" dxfId="68" priority="745" operator="equal">
      <formula>"PE"</formula>
    </cfRule>
    <cfRule type="cellIs" dxfId="67" priority="746" operator="equal">
      <formula>"F"</formula>
    </cfRule>
    <cfRule type="cellIs" dxfId="66" priority="747" operator="equal">
      <formula>"P"</formula>
    </cfRule>
  </conditionalFormatting>
  <conditionalFormatting sqref="H26:H28">
    <cfRule type="cellIs" dxfId="65" priority="710" operator="equal">
      <formula>"F"</formula>
    </cfRule>
    <cfRule type="cellIs" dxfId="64" priority="711" operator="equal">
      <formula>"P"</formula>
    </cfRule>
    <cfRule type="cellIs" dxfId="63" priority="709" operator="equal">
      <formula>"PE"</formula>
    </cfRule>
  </conditionalFormatting>
  <conditionalFormatting sqref="H30:H33">
    <cfRule type="cellIs" dxfId="62" priority="649" operator="equal">
      <formula>"PE"</formula>
    </cfRule>
    <cfRule type="cellIs" dxfId="61" priority="650" operator="equal">
      <formula>"F"</formula>
    </cfRule>
    <cfRule type="cellIs" dxfId="60" priority="651" operator="equal">
      <formula>"P"</formula>
    </cfRule>
  </conditionalFormatting>
  <conditionalFormatting sqref="H35:H37">
    <cfRule type="cellIs" dxfId="59" priority="613" operator="equal">
      <formula>"PE"</formula>
    </cfRule>
    <cfRule type="cellIs" dxfId="58" priority="614" operator="equal">
      <formula>"F"</formula>
    </cfRule>
    <cfRule type="cellIs" dxfId="57" priority="615" operator="equal">
      <formula>"P"</formula>
    </cfRule>
  </conditionalFormatting>
  <conditionalFormatting sqref="H39:H40">
    <cfRule type="cellIs" dxfId="56" priority="590" operator="equal">
      <formula>"F"</formula>
    </cfRule>
    <cfRule type="cellIs" dxfId="55" priority="589" operator="equal">
      <formula>"PE"</formula>
    </cfRule>
    <cfRule type="cellIs" dxfId="54" priority="591" operator="equal">
      <formula>"P"</formula>
    </cfRule>
  </conditionalFormatting>
  <conditionalFormatting sqref="H43:H44">
    <cfRule type="cellIs" dxfId="53" priority="565" operator="equal">
      <formula>"PE"</formula>
    </cfRule>
    <cfRule type="cellIs" dxfId="52" priority="566" operator="equal">
      <formula>"F"</formula>
    </cfRule>
    <cfRule type="cellIs" dxfId="51" priority="567" operator="equal">
      <formula>"P"</formula>
    </cfRule>
  </conditionalFormatting>
  <conditionalFormatting sqref="H46:H47">
    <cfRule type="cellIs" dxfId="50" priority="541" operator="equal">
      <formula>"PE"</formula>
    </cfRule>
    <cfRule type="cellIs" dxfId="49" priority="543" operator="equal">
      <formula>"P"</formula>
    </cfRule>
    <cfRule type="cellIs" dxfId="48" priority="542" operator="equal">
      <formula>"F"</formula>
    </cfRule>
  </conditionalFormatting>
  <conditionalFormatting sqref="H49:H51">
    <cfRule type="cellIs" dxfId="47" priority="506" operator="equal">
      <formula>"F"</formula>
    </cfRule>
    <cfRule type="cellIs" dxfId="46" priority="507" operator="equal">
      <formula>"P"</formula>
    </cfRule>
    <cfRule type="cellIs" dxfId="45" priority="505" operator="equal">
      <formula>"PE"</formula>
    </cfRule>
  </conditionalFormatting>
  <conditionalFormatting sqref="H53:H56">
    <cfRule type="cellIs" dxfId="44" priority="457" operator="equal">
      <formula>"PE"</formula>
    </cfRule>
    <cfRule type="cellIs" dxfId="43" priority="459" operator="equal">
      <formula>"P"</formula>
    </cfRule>
    <cfRule type="cellIs" dxfId="42" priority="458" operator="equal">
      <formula>"F"</formula>
    </cfRule>
  </conditionalFormatting>
  <conditionalFormatting sqref="H58:H60">
    <cfRule type="cellIs" dxfId="41" priority="421" operator="equal">
      <formula>"PE"</formula>
    </cfRule>
    <cfRule type="cellIs" dxfId="40" priority="422" operator="equal">
      <formula>"F"</formula>
    </cfRule>
    <cfRule type="cellIs" dxfId="39" priority="423" operator="equal">
      <formula>"P"</formula>
    </cfRule>
  </conditionalFormatting>
  <conditionalFormatting sqref="H62:H63">
    <cfRule type="cellIs" dxfId="38" priority="397" operator="equal">
      <formula>"PE"</formula>
    </cfRule>
    <cfRule type="cellIs" dxfId="37" priority="398" operator="equal">
      <formula>"F"</formula>
    </cfRule>
    <cfRule type="cellIs" dxfId="36" priority="399" operator="equal">
      <formula>"P"</formula>
    </cfRule>
  </conditionalFormatting>
  <conditionalFormatting sqref="H67">
    <cfRule type="cellIs" dxfId="35" priority="121" operator="equal">
      <formula>"PE"</formula>
    </cfRule>
    <cfRule type="cellIs" dxfId="34" priority="122" operator="equal">
      <formula>"F"</formula>
    </cfRule>
    <cfRule type="cellIs" dxfId="33" priority="123" operator="equal">
      <formula>"P"</formula>
    </cfRule>
  </conditionalFormatting>
  <conditionalFormatting sqref="H69:H70">
    <cfRule type="cellIs" dxfId="32" priority="109" operator="equal">
      <formula>"PE"</formula>
    </cfRule>
    <cfRule type="cellIs" dxfId="31" priority="111" operator="equal">
      <formula>"P"</formula>
    </cfRule>
    <cfRule type="cellIs" dxfId="30" priority="110" operator="equal">
      <formula>"F"</formula>
    </cfRule>
  </conditionalFormatting>
  <conditionalFormatting sqref="H72:H74">
    <cfRule type="cellIs" dxfId="29" priority="97" operator="equal">
      <formula>"PE"</formula>
    </cfRule>
    <cfRule type="cellIs" dxfId="28" priority="98" operator="equal">
      <formula>"F"</formula>
    </cfRule>
    <cfRule type="cellIs" dxfId="27" priority="99" operator="equal">
      <formula>"P"</formula>
    </cfRule>
  </conditionalFormatting>
  <conditionalFormatting sqref="H77:H79">
    <cfRule type="cellIs" dxfId="26" priority="87" operator="equal">
      <formula>"P"</formula>
    </cfRule>
    <cfRule type="cellIs" dxfId="25" priority="86" operator="equal">
      <formula>"F"</formula>
    </cfRule>
    <cfRule type="cellIs" dxfId="24" priority="85" operator="equal">
      <formula>"PE"</formula>
    </cfRule>
  </conditionalFormatting>
  <conditionalFormatting sqref="H81:H96">
    <cfRule type="cellIs" dxfId="23" priority="349" operator="equal">
      <formula>"PE"</formula>
    </cfRule>
    <cfRule type="cellIs" dxfId="22" priority="350" operator="equal">
      <formula>"F"</formula>
    </cfRule>
    <cfRule type="cellIs" dxfId="21" priority="351" operator="equal">
      <formula>"P"</formula>
    </cfRule>
  </conditionalFormatting>
  <conditionalFormatting sqref="H98:H103">
    <cfRule type="cellIs" dxfId="20" priority="73" operator="equal">
      <formula>"PE"</formula>
    </cfRule>
    <cfRule type="cellIs" dxfId="19" priority="75" operator="equal">
      <formula>"P"</formula>
    </cfRule>
    <cfRule type="cellIs" dxfId="18" priority="74" operator="equal">
      <formula>"F"</formula>
    </cfRule>
  </conditionalFormatting>
  <conditionalFormatting sqref="H106:H107">
    <cfRule type="cellIs" dxfId="17" priority="63" operator="equal">
      <formula>"P"</formula>
    </cfRule>
    <cfRule type="cellIs" dxfId="16" priority="62" operator="equal">
      <formula>"F"</formula>
    </cfRule>
    <cfRule type="cellIs" dxfId="15" priority="61" operator="equal">
      <formula>"PE"</formula>
    </cfRule>
  </conditionalFormatting>
  <conditionalFormatting sqref="H109:H111">
    <cfRule type="cellIs" dxfId="14" priority="51" operator="equal">
      <formula>"P"</formula>
    </cfRule>
    <cfRule type="cellIs" dxfId="13" priority="49" operator="equal">
      <formula>"PE"</formula>
    </cfRule>
    <cfRule type="cellIs" dxfId="12" priority="50" operator="equal">
      <formula>"F"</formula>
    </cfRule>
  </conditionalFormatting>
  <conditionalFormatting sqref="H114:H119">
    <cfRule type="cellIs" dxfId="11" priority="38" operator="equal">
      <formula>"F"</formula>
    </cfRule>
    <cfRule type="cellIs" dxfId="10" priority="37" operator="equal">
      <formula>"PE"</formula>
    </cfRule>
    <cfRule type="cellIs" dxfId="9" priority="39" operator="equal">
      <formula>"P"</formula>
    </cfRule>
  </conditionalFormatting>
  <conditionalFormatting sqref="H122:H128">
    <cfRule type="cellIs" dxfId="8" priority="27" operator="equal">
      <formula>"P"</formula>
    </cfRule>
    <cfRule type="cellIs" dxfId="7" priority="26" operator="equal">
      <formula>"F"</formula>
    </cfRule>
    <cfRule type="cellIs" dxfId="6" priority="25" operator="equal">
      <formula>"PE"</formula>
    </cfRule>
  </conditionalFormatting>
  <conditionalFormatting sqref="H130:H135">
    <cfRule type="cellIs" dxfId="5" priority="15" operator="equal">
      <formula>"P"</formula>
    </cfRule>
    <cfRule type="cellIs" dxfId="4" priority="14" operator="equal">
      <formula>"F"</formula>
    </cfRule>
    <cfRule type="cellIs" dxfId="3" priority="13" operator="equal">
      <formula>"PE"</formula>
    </cfRule>
  </conditionalFormatting>
  <conditionalFormatting sqref="H137:H141">
    <cfRule type="cellIs" dxfId="2" priority="3" operator="equal">
      <formula>"P"</formula>
    </cfRule>
    <cfRule type="cellIs" dxfId="1" priority="2" operator="equal">
      <formula>"F"</formula>
    </cfRule>
    <cfRule type="cellIs" dxfId="0" priority="1" operator="equal">
      <formula>"PE"</formula>
    </cfRule>
  </conditionalFormatting>
  <dataValidations count="1">
    <dataValidation type="list" allowBlank="1" showInputMessage="1" showErrorMessage="1" sqref="E20:H21 E23:H24 E26:H28 E30:H33 E35:H37 E39:H40 E43:H44 E46:H47 E49:H51 E53:H56 E58:H60 E62:H63 E16:H16 E14:H14 E77:H79 E72:H74 E81:H96 E69:H70 E130:H135 E109:H111 E98:H103 E67:H67 E106:H107 E137:H141 E122:H128 E114:H119" xr:uid="{00000000-0002-0000-0100-000000000000}">
      <formula1>"P,F,PE"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hợp</vt:lpstr>
      <vt:lpstr>UPDATE_DB_11G_TO_19C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2026-05-15T07:16:42Z</dcterms:modified>
</cp:coreProperties>
</file>